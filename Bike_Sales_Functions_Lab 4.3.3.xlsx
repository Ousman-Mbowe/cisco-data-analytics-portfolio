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86ced47062dd97/Documents/"/>
    </mc:Choice>
  </mc:AlternateContent>
  <xr:revisionPtr revIDLastSave="0" documentId="8_{DD48AB67-8C72-423D-82C1-19030D9FFAC6}" xr6:coauthVersionLast="47" xr6:coauthVersionMax="47" xr10:uidLastSave="{00000000-0000-0000-0000-000000000000}"/>
  <bookViews>
    <workbookView xWindow="-110" yWindow="-110" windowWidth="19420" windowHeight="10300" activeTab="1" xr2:uid="{45D17CDA-D560-42FA-BE9E-44F4FCB792B1}"/>
  </bookViews>
  <sheets>
    <sheet name="Bike_Sales_Functions_Lab (raw)" sheetId="1" r:id="rId1"/>
    <sheet name="Bike_Sales_Functions_Lab (work)" sheetId="2" r:id="rId2"/>
  </sheets>
  <definedNames>
    <definedName name="_xlnm._FilterDatabase" localSheetId="1" hidden="1">'Bike_Sales_Functions_Lab (work)'!$S$1:$S$89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4" i="2" l="1"/>
  <c r="Y31" i="2"/>
  <c r="Y32" i="2"/>
  <c r="Y33" i="2"/>
  <c r="Y35" i="2"/>
  <c r="Y30" i="2"/>
  <c r="Y23" i="2"/>
  <c r="Y24" i="2"/>
  <c r="Y25" i="2"/>
  <c r="Y26" i="2"/>
  <c r="Y27" i="2"/>
  <c r="Y22" i="2"/>
  <c r="Y18" i="2"/>
  <c r="Y19" i="2"/>
  <c r="Y17" i="2"/>
  <c r="X12" i="2" a="1"/>
  <c r="Y8" i="2"/>
  <c r="Y7" i="2"/>
  <c r="Y6" i="2"/>
  <c r="Y5" i="2"/>
  <c r="X22" i="2" a="1"/>
  <c r="O2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Y13" i="2" l="1"/>
  <c r="Y14" i="2"/>
  <c r="Y1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<sst xmlns="http://schemas.openxmlformats.org/spreadsheetml/2006/main" count="1561" uniqueCount="90">
  <si>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</si>
  <si>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</si>
  <si>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</si>
  <si>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</si>
  <si>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</si>
  <si>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</si>
  <si>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</si>
  <si>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</si>
  <si>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</si>
  <si>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</si>
  <si>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</si>
  <si>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</si>
  <si>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</si>
  <si>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</si>
  <si>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</si>
  <si>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</si>
  <si>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</si>
  <si>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</si>
  <si>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</si>
  <si>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</si>
  <si>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</si>
  <si>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</si>
  <si>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</si>
  <si>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</si>
  <si>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</si>
  <si>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</si>
  <si>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</si>
  <si>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</si>
  <si>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</si>
  <si>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</si>
  <si>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</si>
  <si>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Mountain-400-W Silver, 46</t>
  </si>
  <si>
    <t>Young Adults (25-34)</t>
  </si>
  <si>
    <t>Australia</t>
  </si>
  <si>
    <t>New South Wales</t>
  </si>
  <si>
    <t>Mountain-400-W Silver, 42</t>
  </si>
  <si>
    <t>Youth (&lt;25)</t>
  </si>
  <si>
    <t>Mountain-200 Black, 38</t>
  </si>
  <si>
    <t>Washington</t>
  </si>
  <si>
    <t>Germany</t>
  </si>
  <si>
    <t>Nordrhein-Westfalen</t>
  </si>
  <si>
    <t>Queensland</t>
  </si>
  <si>
    <t>Mountain-200 Silver, 38</t>
  </si>
  <si>
    <t>Canada</t>
  </si>
  <si>
    <t>British Columbia</t>
  </si>
  <si>
    <t>Mountain-200 Black, 42</t>
  </si>
  <si>
    <t>Mountain-400-W Silver, 38</t>
  </si>
  <si>
    <t>Mountain-500 Silver, 42</t>
  </si>
  <si>
    <t>Oregon</t>
  </si>
  <si>
    <t>Mountain-500 Black, 42</t>
  </si>
  <si>
    <t>Victoria</t>
  </si>
  <si>
    <t>Mountain-100 Black, 38</t>
  </si>
  <si>
    <t>Hamburg</t>
  </si>
  <si>
    <t>Mountain-500 Black, 40</t>
  </si>
  <si>
    <t>Mountain-100 Silver, 44</t>
  </si>
  <si>
    <t>France</t>
  </si>
  <si>
    <t>Seine (Paris)</t>
  </si>
  <si>
    <t>12/13/2021</t>
  </si>
  <si>
    <t>Mountain-500 Silver, 40</t>
  </si>
  <si>
    <t>12/14/2021</t>
  </si>
  <si>
    <t>12/15/2021</t>
  </si>
  <si>
    <t>12/16/2021</t>
  </si>
  <si>
    <t>Seine et Marne</t>
  </si>
  <si>
    <t>Mountain-200 Silver, 46</t>
  </si>
  <si>
    <t>12/17/2021</t>
  </si>
  <si>
    <t>12/18/2021</t>
  </si>
  <si>
    <t>Seine Saint Denis</t>
  </si>
  <si>
    <t>12/19/2021</t>
  </si>
  <si>
    <t>Nord</t>
  </si>
  <si>
    <t>Mountain-500 Black, 44</t>
  </si>
  <si>
    <t>Mountain-100 Black, 48</t>
  </si>
  <si>
    <t>South Australia</t>
  </si>
  <si>
    <t>Hessen</t>
  </si>
  <si>
    <t>12/20/2021</t>
  </si>
  <si>
    <t>Mountain-500 Black, 52</t>
  </si>
  <si>
    <t>12/21/2021</t>
  </si>
  <si>
    <t>Somme</t>
  </si>
  <si>
    <t>12/22/2021</t>
  </si>
  <si>
    <t>12/23/2021</t>
  </si>
  <si>
    <t>12/24/2021</t>
  </si>
  <si>
    <t>Sales summary</t>
  </si>
  <si>
    <t>Data Summary</t>
  </si>
  <si>
    <t>No.# of Transactions</t>
  </si>
  <si>
    <t>No.#  of Transactions by Adults(35-64)</t>
  </si>
  <si>
    <t>Average Revenue by Age Group</t>
  </si>
  <si>
    <t>Minimum Revenue by Age Group</t>
  </si>
  <si>
    <t>Maximum Revenue By Country</t>
  </si>
  <si>
    <t>Total Revenue of Adults (35-64) in Each Country</t>
  </si>
  <si>
    <t>No.# of Transactions with missing IDs</t>
  </si>
  <si>
    <t>Average Profits by Youths (&lt;25)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</si>
</sst>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6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13" fillId="33" borderId="0" xfId="0" applyFont="1" applyFill="1" applyAlignment="1">
      <alignment horizontal="center"/>
    </xf>
    <xf numFmtId="0" fontId="13" fillId="34" borderId="0" xfId="0" applyFont="1" applyFill="1" applyAlignment="1">
      <alignment horizontal="center"/>
    </xf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4C1A-6CE3-452F-9F91-AF1BAD611A50}">
  <dimension ref="A1:S89"/>
  <sheetViews>
    <sheetView workbookViewId="0">
      <selection activeCell="I5" sqref="I5"/>
    </sheetView>
  </sheetViews>
  <sheetFormatPr defaultRowHeight="14.5" x14ac:dyDescent="0.35"/>
  <cols>
    <col min="1" max="1" width="12.36328125" bestFit="1" customWidth="1"/>
    <col min="2" max="2" width="10.453125" bestFit="1" customWidth="1"/>
    <col min="3" max="3" width="4" bestFit="1" customWidth="1"/>
    <col min="4" max="4" width="9.36328125" bestFit="1" customWidth="1"/>
    <col min="5" max="5" width="4.81640625" bestFit="1" customWidth="1"/>
    <col min="6" max="6" width="13.08984375" bestFit="1" customWidth="1"/>
    <col min="7" max="7" width="18.26953125" bestFit="1" customWidth="1"/>
    <col min="8" max="8" width="16.1796875" bestFit="1" customWidth="1"/>
    <col min="9" max="9" width="14.1796875" bestFit="1" customWidth="1"/>
    <col min="10" max="10" width="18.6328125" bestFit="1" customWidth="1"/>
    <col min="11" max="11" width="15.7265625" bestFit="1" customWidth="1"/>
    <col min="12" max="12" width="13.81640625" bestFit="1" customWidth="1"/>
    <col min="13" max="13" width="23.1796875" bestFit="1" customWidth="1"/>
    <col min="14" max="14" width="14" bestFit="1" customWidth="1"/>
    <col min="15" max="15" width="9.81640625" bestFit="1" customWidth="1"/>
    <col min="16" max="16" width="10.1796875" bestFit="1" customWidth="1"/>
    <col min="17" max="18" width="9.453125" bestFit="1" customWidth="1"/>
    <col min="19" max="19" width="10.4531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261695</v>
      </c>
      <c r="B2">
        <v>44208</v>
      </c>
      <c r="C2">
        <v>1</v>
      </c>
      <c r="D2" t="s">
        <v>19</v>
      </c>
      <c r="E2">
        <v>2021</v>
      </c>
      <c r="F2">
        <v>39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>
        <v>4</v>
      </c>
      <c r="O2">
        <v>1252</v>
      </c>
      <c r="P2">
        <v>2295</v>
      </c>
      <c r="Q2">
        <v>4172</v>
      </c>
      <c r="R2">
        <v>5008</v>
      </c>
      <c r="S2">
        <v>9180</v>
      </c>
    </row>
    <row r="3" spans="1:19" x14ac:dyDescent="0.35">
      <c r="A3">
        <v>261696</v>
      </c>
      <c r="B3">
        <v>44208</v>
      </c>
      <c r="C3">
        <v>1</v>
      </c>
      <c r="D3" t="s">
        <v>19</v>
      </c>
      <c r="E3">
        <v>2021</v>
      </c>
      <c r="F3">
        <v>44</v>
      </c>
      <c r="G3" t="s">
        <v>20</v>
      </c>
      <c r="H3" t="s">
        <v>27</v>
      </c>
      <c r="I3" t="s">
        <v>28</v>
      </c>
      <c r="J3" t="s">
        <v>29</v>
      </c>
      <c r="K3" t="s">
        <v>24</v>
      </c>
      <c r="L3" t="s">
        <v>25</v>
      </c>
      <c r="M3" t="s">
        <v>30</v>
      </c>
      <c r="N3">
        <v>1</v>
      </c>
      <c r="O3">
        <v>1266</v>
      </c>
      <c r="P3">
        <v>2320</v>
      </c>
      <c r="Q3">
        <v>1054</v>
      </c>
      <c r="R3">
        <v>1266</v>
      </c>
      <c r="S3">
        <v>2320</v>
      </c>
    </row>
    <row r="4" spans="1:19" x14ac:dyDescent="0.35">
      <c r="A4">
        <v>261697</v>
      </c>
      <c r="B4">
        <v>44239</v>
      </c>
      <c r="C4">
        <v>2</v>
      </c>
      <c r="D4" t="s">
        <v>19</v>
      </c>
      <c r="E4">
        <v>2021</v>
      </c>
      <c r="F4">
        <v>37</v>
      </c>
      <c r="G4" t="s">
        <v>20</v>
      </c>
      <c r="H4" t="s">
        <v>27</v>
      </c>
      <c r="I4" t="s">
        <v>22</v>
      </c>
      <c r="J4" t="s">
        <v>23</v>
      </c>
      <c r="K4" t="s">
        <v>24</v>
      </c>
      <c r="L4" t="s">
        <v>25</v>
      </c>
      <c r="M4" t="s">
        <v>31</v>
      </c>
      <c r="N4">
        <v>2</v>
      </c>
      <c r="O4">
        <v>420</v>
      </c>
      <c r="P4">
        <v>769</v>
      </c>
      <c r="Q4">
        <v>698</v>
      </c>
      <c r="R4">
        <v>840</v>
      </c>
      <c r="S4">
        <v>1538</v>
      </c>
    </row>
    <row r="5" spans="1:19" x14ac:dyDescent="0.35">
      <c r="A5">
        <v>261698</v>
      </c>
      <c r="B5">
        <v>44239</v>
      </c>
      <c r="C5">
        <v>2</v>
      </c>
      <c r="D5" t="s">
        <v>19</v>
      </c>
      <c r="E5">
        <v>2021</v>
      </c>
      <c r="F5">
        <v>31</v>
      </c>
      <c r="G5" t="s">
        <v>32</v>
      </c>
      <c r="H5" t="s">
        <v>21</v>
      </c>
      <c r="I5" t="s">
        <v>33</v>
      </c>
      <c r="J5" t="s">
        <v>34</v>
      </c>
      <c r="K5" t="s">
        <v>24</v>
      </c>
      <c r="L5" t="s">
        <v>25</v>
      </c>
      <c r="M5" t="s">
        <v>35</v>
      </c>
      <c r="N5">
        <v>1</v>
      </c>
      <c r="O5">
        <v>420</v>
      </c>
      <c r="P5">
        <v>769</v>
      </c>
      <c r="Q5">
        <v>349</v>
      </c>
      <c r="R5">
        <v>420</v>
      </c>
      <c r="S5">
        <v>769</v>
      </c>
    </row>
    <row r="6" spans="1:19" x14ac:dyDescent="0.35">
      <c r="A6">
        <v>261699</v>
      </c>
      <c r="B6">
        <v>44267</v>
      </c>
      <c r="C6">
        <v>3</v>
      </c>
      <c r="D6" t="s">
        <v>19</v>
      </c>
      <c r="E6">
        <v>2021</v>
      </c>
      <c r="F6">
        <v>37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>
        <v>2</v>
      </c>
      <c r="O6">
        <v>1252</v>
      </c>
      <c r="P6">
        <v>2295</v>
      </c>
      <c r="Q6">
        <v>2086</v>
      </c>
      <c r="R6">
        <v>2504</v>
      </c>
      <c r="S6">
        <v>4590</v>
      </c>
    </row>
    <row r="7" spans="1:19" x14ac:dyDescent="0.35">
      <c r="A7">
        <v>261700</v>
      </c>
      <c r="B7">
        <v>44267</v>
      </c>
      <c r="C7">
        <v>3</v>
      </c>
      <c r="D7" t="s">
        <v>19</v>
      </c>
      <c r="E7">
        <v>2021</v>
      </c>
      <c r="F7">
        <v>24</v>
      </c>
      <c r="G7" t="s">
        <v>36</v>
      </c>
      <c r="H7" t="s">
        <v>21</v>
      </c>
      <c r="I7" t="s">
        <v>28</v>
      </c>
      <c r="J7" t="s">
        <v>29</v>
      </c>
      <c r="K7" t="s">
        <v>24</v>
      </c>
      <c r="L7" t="s">
        <v>25</v>
      </c>
      <c r="M7" t="s">
        <v>37</v>
      </c>
      <c r="N7">
        <v>1</v>
      </c>
      <c r="O7">
        <v>1252</v>
      </c>
      <c r="P7">
        <v>2295</v>
      </c>
      <c r="Q7">
        <v>1043</v>
      </c>
      <c r="R7">
        <v>1252</v>
      </c>
      <c r="S7">
        <v>2295</v>
      </c>
    </row>
    <row r="8" spans="1:19" x14ac:dyDescent="0.35">
      <c r="A8">
        <v>261701</v>
      </c>
      <c r="B8">
        <v>44267</v>
      </c>
      <c r="C8">
        <v>3</v>
      </c>
      <c r="D8" t="s">
        <v>19</v>
      </c>
      <c r="E8">
        <v>2021</v>
      </c>
      <c r="F8">
        <v>37</v>
      </c>
      <c r="G8" t="s">
        <v>20</v>
      </c>
      <c r="H8" t="s">
        <v>27</v>
      </c>
      <c r="I8" t="s">
        <v>22</v>
      </c>
      <c r="J8" t="s">
        <v>38</v>
      </c>
      <c r="K8" t="s">
        <v>24</v>
      </c>
      <c r="L8" t="s">
        <v>25</v>
      </c>
      <c r="M8" t="s">
        <v>26</v>
      </c>
      <c r="N8">
        <v>1</v>
      </c>
      <c r="O8">
        <v>1252</v>
      </c>
      <c r="P8">
        <v>2295</v>
      </c>
      <c r="Q8">
        <v>1043</v>
      </c>
      <c r="R8">
        <v>1252</v>
      </c>
      <c r="S8">
        <v>2295</v>
      </c>
    </row>
    <row r="9" spans="1:19" x14ac:dyDescent="0.35">
      <c r="A9">
        <v>261702</v>
      </c>
      <c r="B9">
        <v>44298</v>
      </c>
      <c r="C9">
        <v>4</v>
      </c>
      <c r="D9" t="s">
        <v>19</v>
      </c>
      <c r="E9">
        <v>2021</v>
      </c>
      <c r="F9">
        <v>31</v>
      </c>
      <c r="G9" t="s">
        <v>32</v>
      </c>
      <c r="H9" t="s">
        <v>21</v>
      </c>
      <c r="I9" t="s">
        <v>33</v>
      </c>
      <c r="J9" t="s">
        <v>34</v>
      </c>
      <c r="K9" t="s">
        <v>24</v>
      </c>
      <c r="L9" t="s">
        <v>25</v>
      </c>
      <c r="M9" t="s">
        <v>35</v>
      </c>
      <c r="N9">
        <v>4</v>
      </c>
      <c r="O9">
        <v>420</v>
      </c>
      <c r="P9">
        <v>769</v>
      </c>
      <c r="Q9">
        <v>1396</v>
      </c>
      <c r="R9">
        <v>1680</v>
      </c>
      <c r="S9">
        <v>3076</v>
      </c>
    </row>
    <row r="10" spans="1:19" x14ac:dyDescent="0.35">
      <c r="A10">
        <v>261703</v>
      </c>
      <c r="B10">
        <v>44328</v>
      </c>
      <c r="C10">
        <v>5</v>
      </c>
      <c r="D10" t="s">
        <v>19</v>
      </c>
      <c r="E10">
        <v>2021</v>
      </c>
      <c r="F10">
        <v>39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  <c r="N10">
        <v>4</v>
      </c>
      <c r="O10">
        <v>1252</v>
      </c>
      <c r="P10">
        <v>2295</v>
      </c>
      <c r="Q10">
        <v>4172</v>
      </c>
      <c r="R10">
        <v>5008</v>
      </c>
      <c r="S10">
        <v>9180</v>
      </c>
    </row>
    <row r="11" spans="1:19" x14ac:dyDescent="0.35">
      <c r="A11">
        <v>261704</v>
      </c>
      <c r="B11">
        <v>44328</v>
      </c>
      <c r="C11">
        <v>5</v>
      </c>
      <c r="D11" t="s">
        <v>19</v>
      </c>
      <c r="E11">
        <v>2021</v>
      </c>
      <c r="F11">
        <v>42</v>
      </c>
      <c r="G11" t="s">
        <v>20</v>
      </c>
      <c r="H11" t="s">
        <v>27</v>
      </c>
      <c r="I11" t="s">
        <v>39</v>
      </c>
      <c r="J11" t="s">
        <v>40</v>
      </c>
      <c r="K11" t="s">
        <v>24</v>
      </c>
      <c r="L11" t="s">
        <v>25</v>
      </c>
      <c r="M11" t="s">
        <v>37</v>
      </c>
      <c r="N11">
        <v>4</v>
      </c>
      <c r="O11">
        <v>1252</v>
      </c>
      <c r="P11">
        <v>2295</v>
      </c>
      <c r="Q11">
        <v>4172</v>
      </c>
      <c r="R11">
        <v>5008</v>
      </c>
      <c r="S11">
        <v>9180</v>
      </c>
    </row>
    <row r="12" spans="1:19" x14ac:dyDescent="0.35">
      <c r="A12">
        <v>261705</v>
      </c>
      <c r="B12">
        <v>44328</v>
      </c>
      <c r="C12">
        <v>5</v>
      </c>
      <c r="D12" t="s">
        <v>19</v>
      </c>
      <c r="E12">
        <v>2021</v>
      </c>
      <c r="F12">
        <v>35</v>
      </c>
      <c r="G12" t="s">
        <v>20</v>
      </c>
      <c r="H12" t="s">
        <v>21</v>
      </c>
      <c r="I12" t="s">
        <v>33</v>
      </c>
      <c r="J12" t="s">
        <v>41</v>
      </c>
      <c r="K12" t="s">
        <v>24</v>
      </c>
      <c r="L12" t="s">
        <v>25</v>
      </c>
      <c r="M12" t="s">
        <v>42</v>
      </c>
      <c r="N12">
        <v>1</v>
      </c>
      <c r="O12">
        <v>1266</v>
      </c>
      <c r="P12">
        <v>2320</v>
      </c>
      <c r="Q12">
        <v>1054</v>
      </c>
      <c r="R12">
        <v>1266</v>
      </c>
      <c r="S12">
        <v>2320</v>
      </c>
    </row>
    <row r="13" spans="1:19" x14ac:dyDescent="0.35">
      <c r="A13">
        <v>261706</v>
      </c>
      <c r="B13">
        <v>44328</v>
      </c>
      <c r="C13">
        <v>5</v>
      </c>
      <c r="D13" t="s">
        <v>19</v>
      </c>
      <c r="E13">
        <v>2021</v>
      </c>
      <c r="F13">
        <v>37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26</v>
      </c>
      <c r="N13">
        <v>1</v>
      </c>
      <c r="O13">
        <v>1252</v>
      </c>
      <c r="P13">
        <v>2295</v>
      </c>
      <c r="Q13">
        <v>1043</v>
      </c>
      <c r="R13">
        <v>1252</v>
      </c>
      <c r="S13">
        <v>2295</v>
      </c>
    </row>
    <row r="14" spans="1:19" x14ac:dyDescent="0.35">
      <c r="A14">
        <v>261707</v>
      </c>
      <c r="B14">
        <v>44359</v>
      </c>
      <c r="C14">
        <v>6</v>
      </c>
      <c r="D14" t="s">
        <v>19</v>
      </c>
      <c r="E14">
        <v>2021</v>
      </c>
      <c r="F14">
        <v>23</v>
      </c>
      <c r="G14" t="s">
        <v>36</v>
      </c>
      <c r="H14" t="s">
        <v>27</v>
      </c>
      <c r="I14" t="s">
        <v>28</v>
      </c>
      <c r="J14" t="s">
        <v>29</v>
      </c>
      <c r="K14" t="s">
        <v>24</v>
      </c>
      <c r="L14" t="s">
        <v>25</v>
      </c>
      <c r="M14" t="s">
        <v>31</v>
      </c>
      <c r="N14">
        <v>3</v>
      </c>
      <c r="O14">
        <v>420</v>
      </c>
      <c r="P14">
        <v>769</v>
      </c>
      <c r="Q14">
        <v>1047</v>
      </c>
      <c r="R14">
        <v>1260</v>
      </c>
      <c r="S14">
        <v>2307</v>
      </c>
    </row>
    <row r="15" spans="1:19" x14ac:dyDescent="0.35">
      <c r="A15">
        <v>261708</v>
      </c>
      <c r="B15">
        <v>44359</v>
      </c>
      <c r="C15">
        <v>6</v>
      </c>
      <c r="D15" t="s">
        <v>19</v>
      </c>
      <c r="E15">
        <v>2021</v>
      </c>
      <c r="F15">
        <v>27</v>
      </c>
      <c r="G15" t="s">
        <v>32</v>
      </c>
      <c r="H15" t="s">
        <v>27</v>
      </c>
      <c r="I15" t="s">
        <v>43</v>
      </c>
      <c r="J15" t="s">
        <v>44</v>
      </c>
      <c r="K15" t="s">
        <v>24</v>
      </c>
      <c r="L15" t="s">
        <v>25</v>
      </c>
      <c r="M15" t="s">
        <v>26</v>
      </c>
      <c r="N15">
        <v>1</v>
      </c>
      <c r="O15">
        <v>1252</v>
      </c>
      <c r="P15">
        <v>2295</v>
      </c>
      <c r="Q15">
        <v>1043</v>
      </c>
      <c r="R15">
        <v>1252</v>
      </c>
      <c r="S15">
        <v>2295</v>
      </c>
    </row>
    <row r="16" spans="1:19" x14ac:dyDescent="0.35">
      <c r="A16">
        <v>261709</v>
      </c>
      <c r="B16">
        <v>44359</v>
      </c>
      <c r="C16">
        <v>6</v>
      </c>
      <c r="D16" t="s">
        <v>19</v>
      </c>
      <c r="E16">
        <v>2021</v>
      </c>
      <c r="F16">
        <v>36</v>
      </c>
      <c r="G16" t="s">
        <v>20</v>
      </c>
      <c r="H16" t="s">
        <v>27</v>
      </c>
      <c r="I16" t="s">
        <v>33</v>
      </c>
      <c r="J16" t="s">
        <v>34</v>
      </c>
      <c r="K16" t="s">
        <v>24</v>
      </c>
      <c r="L16" t="s">
        <v>25</v>
      </c>
      <c r="M16" t="s">
        <v>45</v>
      </c>
      <c r="N16">
        <v>1</v>
      </c>
      <c r="O16">
        <v>1252</v>
      </c>
      <c r="P16">
        <v>2295</v>
      </c>
      <c r="Q16">
        <v>1043</v>
      </c>
      <c r="R16">
        <v>1252</v>
      </c>
      <c r="S16">
        <v>2295</v>
      </c>
    </row>
    <row r="17" spans="1:19" x14ac:dyDescent="0.35">
      <c r="A17">
        <v>261710</v>
      </c>
      <c r="B17">
        <v>44359</v>
      </c>
      <c r="C17">
        <v>6</v>
      </c>
      <c r="D17" t="s">
        <v>19</v>
      </c>
      <c r="E17">
        <v>2021</v>
      </c>
      <c r="F17">
        <v>47</v>
      </c>
      <c r="G17" t="s">
        <v>20</v>
      </c>
      <c r="H17" t="s">
        <v>27</v>
      </c>
      <c r="I17" t="s">
        <v>28</v>
      </c>
      <c r="J17" t="s">
        <v>29</v>
      </c>
      <c r="K17" t="s">
        <v>24</v>
      </c>
      <c r="L17" t="s">
        <v>25</v>
      </c>
      <c r="M17" t="s">
        <v>42</v>
      </c>
      <c r="N17">
        <v>1</v>
      </c>
      <c r="O17">
        <v>1266</v>
      </c>
      <c r="P17">
        <v>2320</v>
      </c>
      <c r="Q17">
        <v>1054</v>
      </c>
      <c r="R17">
        <v>1266</v>
      </c>
      <c r="S17">
        <v>2320</v>
      </c>
    </row>
    <row r="18" spans="1:19" x14ac:dyDescent="0.35">
      <c r="A18">
        <v>261711</v>
      </c>
      <c r="B18">
        <v>44389</v>
      </c>
      <c r="C18">
        <v>7</v>
      </c>
      <c r="D18" t="s">
        <v>19</v>
      </c>
      <c r="E18">
        <v>2021</v>
      </c>
      <c r="F18">
        <v>30</v>
      </c>
      <c r="G18" t="s">
        <v>32</v>
      </c>
      <c r="H18" t="s">
        <v>27</v>
      </c>
      <c r="I18" t="s">
        <v>22</v>
      </c>
      <c r="J18" t="s">
        <v>23</v>
      </c>
      <c r="K18" t="s">
        <v>24</v>
      </c>
      <c r="L18" t="s">
        <v>25</v>
      </c>
      <c r="M18" t="s">
        <v>46</v>
      </c>
      <c r="N18">
        <v>4</v>
      </c>
      <c r="O18">
        <v>420</v>
      </c>
      <c r="P18">
        <v>769</v>
      </c>
      <c r="Q18">
        <v>1396</v>
      </c>
      <c r="R18">
        <v>1680</v>
      </c>
      <c r="S18">
        <v>3076</v>
      </c>
    </row>
    <row r="19" spans="1:19" x14ac:dyDescent="0.35">
      <c r="A19">
        <v>261712</v>
      </c>
      <c r="B19">
        <v>44389</v>
      </c>
      <c r="C19">
        <v>7</v>
      </c>
      <c r="D19" t="s">
        <v>19</v>
      </c>
      <c r="E19">
        <v>2021</v>
      </c>
      <c r="F19">
        <v>38</v>
      </c>
      <c r="G19" t="s">
        <v>20</v>
      </c>
      <c r="H19" t="s">
        <v>27</v>
      </c>
      <c r="I19" t="s">
        <v>22</v>
      </c>
      <c r="J19" t="s">
        <v>23</v>
      </c>
      <c r="K19" t="s">
        <v>24</v>
      </c>
      <c r="L19" t="s">
        <v>25</v>
      </c>
      <c r="M19" t="s">
        <v>30</v>
      </c>
      <c r="N19">
        <v>2</v>
      </c>
      <c r="O19">
        <v>1266</v>
      </c>
      <c r="P19">
        <v>2320</v>
      </c>
      <c r="Q19">
        <v>2108</v>
      </c>
      <c r="R19">
        <v>2532</v>
      </c>
      <c r="S19">
        <v>4640</v>
      </c>
    </row>
    <row r="20" spans="1:19" x14ac:dyDescent="0.35">
      <c r="A20">
        <v>261713</v>
      </c>
      <c r="B20">
        <v>44420</v>
      </c>
      <c r="C20">
        <v>8</v>
      </c>
      <c r="D20" t="s">
        <v>19</v>
      </c>
      <c r="E20">
        <v>2021</v>
      </c>
      <c r="F20">
        <v>19</v>
      </c>
      <c r="G20" t="s">
        <v>36</v>
      </c>
      <c r="H20" t="s">
        <v>21</v>
      </c>
      <c r="I20" t="s">
        <v>33</v>
      </c>
      <c r="J20" t="s">
        <v>34</v>
      </c>
      <c r="K20" t="s">
        <v>24</v>
      </c>
      <c r="L20" t="s">
        <v>25</v>
      </c>
      <c r="M20" t="s">
        <v>47</v>
      </c>
      <c r="N20">
        <v>4</v>
      </c>
      <c r="O20">
        <v>308</v>
      </c>
      <c r="P20">
        <v>565</v>
      </c>
      <c r="Q20">
        <v>1028</v>
      </c>
      <c r="R20">
        <v>1232</v>
      </c>
      <c r="S20">
        <v>2260</v>
      </c>
    </row>
    <row r="21" spans="1:19" x14ac:dyDescent="0.35">
      <c r="A21">
        <v>261714</v>
      </c>
      <c r="B21">
        <v>44420</v>
      </c>
      <c r="C21">
        <v>8</v>
      </c>
      <c r="D21" t="s">
        <v>19</v>
      </c>
      <c r="E21">
        <v>2021</v>
      </c>
      <c r="F21">
        <v>30</v>
      </c>
      <c r="G21" t="s">
        <v>32</v>
      </c>
      <c r="H21" t="s">
        <v>21</v>
      </c>
      <c r="I21" t="s">
        <v>43</v>
      </c>
      <c r="J21" t="s">
        <v>44</v>
      </c>
      <c r="K21" t="s">
        <v>24</v>
      </c>
      <c r="L21" t="s">
        <v>25</v>
      </c>
      <c r="M21" t="s">
        <v>42</v>
      </c>
      <c r="N21">
        <v>4</v>
      </c>
      <c r="O21">
        <v>1266</v>
      </c>
      <c r="P21">
        <v>2320</v>
      </c>
      <c r="Q21">
        <v>4216</v>
      </c>
      <c r="R21">
        <v>5064</v>
      </c>
      <c r="S21">
        <v>9280</v>
      </c>
    </row>
    <row r="22" spans="1:19" x14ac:dyDescent="0.35">
      <c r="A22">
        <v>261715</v>
      </c>
      <c r="B22">
        <v>44420</v>
      </c>
      <c r="C22">
        <v>8</v>
      </c>
      <c r="D22" t="s">
        <v>19</v>
      </c>
      <c r="E22">
        <v>2021</v>
      </c>
      <c r="F22">
        <v>39</v>
      </c>
      <c r="G22" t="s">
        <v>20</v>
      </c>
      <c r="H22" t="s">
        <v>21</v>
      </c>
      <c r="I22" t="s">
        <v>22</v>
      </c>
      <c r="J22" t="s">
        <v>48</v>
      </c>
      <c r="K22" t="s">
        <v>24</v>
      </c>
      <c r="L22" t="s">
        <v>25</v>
      </c>
      <c r="M22" t="s">
        <v>45</v>
      </c>
      <c r="N22">
        <v>2</v>
      </c>
      <c r="O22">
        <v>1252</v>
      </c>
      <c r="P22">
        <v>2295</v>
      </c>
      <c r="Q22">
        <v>2086</v>
      </c>
      <c r="R22">
        <v>2504</v>
      </c>
      <c r="S22">
        <v>4590</v>
      </c>
    </row>
    <row r="23" spans="1:19" x14ac:dyDescent="0.35">
      <c r="A23">
        <v>261716</v>
      </c>
      <c r="B23">
        <v>44420</v>
      </c>
      <c r="C23">
        <v>8</v>
      </c>
      <c r="D23" t="s">
        <v>19</v>
      </c>
      <c r="E23">
        <v>2021</v>
      </c>
      <c r="F23">
        <v>35</v>
      </c>
      <c r="G23" t="s">
        <v>20</v>
      </c>
      <c r="H23" t="s">
        <v>21</v>
      </c>
      <c r="I23" t="s">
        <v>22</v>
      </c>
      <c r="J23" t="s">
        <v>23</v>
      </c>
      <c r="K23" t="s">
        <v>24</v>
      </c>
      <c r="L23" t="s">
        <v>25</v>
      </c>
      <c r="M23" t="s">
        <v>49</v>
      </c>
      <c r="N23">
        <v>1</v>
      </c>
      <c r="O23">
        <v>295</v>
      </c>
      <c r="P23">
        <v>540</v>
      </c>
      <c r="Q23">
        <v>245</v>
      </c>
      <c r="R23">
        <v>295</v>
      </c>
      <c r="S23">
        <v>540</v>
      </c>
    </row>
    <row r="24" spans="1:19" x14ac:dyDescent="0.35">
      <c r="A24">
        <v>261717</v>
      </c>
      <c r="B24">
        <v>44451</v>
      </c>
      <c r="C24">
        <v>9</v>
      </c>
      <c r="D24" t="s">
        <v>19</v>
      </c>
      <c r="E24">
        <v>2021</v>
      </c>
      <c r="F24">
        <v>33</v>
      </c>
      <c r="G24" t="s">
        <v>32</v>
      </c>
      <c r="H24" t="s">
        <v>21</v>
      </c>
      <c r="I24" t="s">
        <v>33</v>
      </c>
      <c r="J24" t="s">
        <v>50</v>
      </c>
      <c r="K24" t="s">
        <v>24</v>
      </c>
      <c r="L24" t="s">
        <v>25</v>
      </c>
      <c r="M24" t="s">
        <v>51</v>
      </c>
      <c r="N24">
        <v>2</v>
      </c>
      <c r="O24">
        <v>1898</v>
      </c>
      <c r="P24">
        <v>3375</v>
      </c>
      <c r="Q24">
        <v>2954</v>
      </c>
      <c r="R24">
        <v>3796</v>
      </c>
      <c r="S24">
        <v>6750</v>
      </c>
    </row>
    <row r="25" spans="1:19" x14ac:dyDescent="0.35">
      <c r="A25">
        <v>261718</v>
      </c>
      <c r="B25">
        <v>44451</v>
      </c>
      <c r="C25">
        <v>9</v>
      </c>
      <c r="D25" t="s">
        <v>19</v>
      </c>
      <c r="E25">
        <v>2021</v>
      </c>
      <c r="F25">
        <v>41</v>
      </c>
      <c r="G25" t="s">
        <v>20</v>
      </c>
      <c r="H25" t="s">
        <v>21</v>
      </c>
      <c r="I25" t="s">
        <v>39</v>
      </c>
      <c r="J25" t="s">
        <v>52</v>
      </c>
      <c r="K25" t="s">
        <v>24</v>
      </c>
      <c r="L25" t="s">
        <v>25</v>
      </c>
      <c r="M25" t="s">
        <v>30</v>
      </c>
      <c r="N25">
        <v>1</v>
      </c>
      <c r="O25">
        <v>1266</v>
      </c>
      <c r="P25">
        <v>2320</v>
      </c>
      <c r="Q25">
        <v>1054</v>
      </c>
      <c r="R25">
        <v>1266</v>
      </c>
      <c r="S25">
        <v>2320</v>
      </c>
    </row>
    <row r="26" spans="1:19" x14ac:dyDescent="0.35">
      <c r="A26">
        <v>261719</v>
      </c>
      <c r="B26">
        <v>44481</v>
      </c>
      <c r="C26">
        <v>10</v>
      </c>
      <c r="D26" t="s">
        <v>19</v>
      </c>
      <c r="E26">
        <v>2021</v>
      </c>
      <c r="F26">
        <v>34</v>
      </c>
      <c r="G26" t="s">
        <v>32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45</v>
      </c>
      <c r="N26">
        <v>2</v>
      </c>
      <c r="O26">
        <v>1252</v>
      </c>
      <c r="P26">
        <v>2295</v>
      </c>
      <c r="Q26">
        <v>2086</v>
      </c>
      <c r="R26">
        <v>2504</v>
      </c>
      <c r="S26">
        <v>4590</v>
      </c>
    </row>
    <row r="27" spans="1:19" x14ac:dyDescent="0.35">
      <c r="A27">
        <v>261720</v>
      </c>
      <c r="B27">
        <v>44481</v>
      </c>
      <c r="C27">
        <v>10</v>
      </c>
      <c r="D27" t="s">
        <v>19</v>
      </c>
      <c r="E27">
        <v>2021</v>
      </c>
      <c r="F27">
        <v>40</v>
      </c>
      <c r="G27" t="s">
        <v>20</v>
      </c>
      <c r="H27" t="s">
        <v>27</v>
      </c>
      <c r="I27" t="s">
        <v>33</v>
      </c>
      <c r="J27" t="s">
        <v>34</v>
      </c>
      <c r="K27" t="s">
        <v>24</v>
      </c>
      <c r="L27" t="s">
        <v>25</v>
      </c>
      <c r="M27" t="s">
        <v>45</v>
      </c>
      <c r="N27">
        <v>2</v>
      </c>
      <c r="O27">
        <v>1252</v>
      </c>
      <c r="P27">
        <v>2295</v>
      </c>
      <c r="Q27">
        <v>2086</v>
      </c>
      <c r="R27">
        <v>2504</v>
      </c>
      <c r="S27">
        <v>4590</v>
      </c>
    </row>
    <row r="28" spans="1:19" x14ac:dyDescent="0.35">
      <c r="A28">
        <v>261721</v>
      </c>
      <c r="B28">
        <v>44481</v>
      </c>
      <c r="C28">
        <v>10</v>
      </c>
      <c r="D28" t="s">
        <v>19</v>
      </c>
      <c r="E28">
        <v>2021</v>
      </c>
      <c r="F28">
        <v>26</v>
      </c>
      <c r="G28" t="s">
        <v>32</v>
      </c>
      <c r="H28" t="s">
        <v>27</v>
      </c>
      <c r="I28" t="s">
        <v>28</v>
      </c>
      <c r="J28" t="s">
        <v>29</v>
      </c>
      <c r="K28" t="s">
        <v>24</v>
      </c>
      <c r="L28" t="s">
        <v>25</v>
      </c>
      <c r="M28" t="s">
        <v>37</v>
      </c>
      <c r="N28">
        <v>1</v>
      </c>
      <c r="O28">
        <v>1252</v>
      </c>
      <c r="P28">
        <v>2295</v>
      </c>
      <c r="Q28">
        <v>1043</v>
      </c>
      <c r="R28">
        <v>1252</v>
      </c>
      <c r="S28">
        <v>2295</v>
      </c>
    </row>
    <row r="29" spans="1:19" x14ac:dyDescent="0.35">
      <c r="A29">
        <v>261722</v>
      </c>
      <c r="B29">
        <v>44481</v>
      </c>
      <c r="C29">
        <v>10</v>
      </c>
      <c r="D29" t="s">
        <v>19</v>
      </c>
      <c r="E29">
        <v>2021</v>
      </c>
      <c r="F29">
        <v>34</v>
      </c>
      <c r="G29" t="s">
        <v>32</v>
      </c>
      <c r="H29" t="s">
        <v>27</v>
      </c>
      <c r="I29" t="s">
        <v>22</v>
      </c>
      <c r="J29" t="s">
        <v>23</v>
      </c>
      <c r="K29" t="s">
        <v>24</v>
      </c>
      <c r="L29" t="s">
        <v>25</v>
      </c>
      <c r="M29" t="s">
        <v>53</v>
      </c>
      <c r="N29">
        <v>1</v>
      </c>
      <c r="O29">
        <v>295</v>
      </c>
      <c r="P29">
        <v>540</v>
      </c>
      <c r="Q29">
        <v>245</v>
      </c>
      <c r="R29">
        <v>295</v>
      </c>
      <c r="S29">
        <v>540</v>
      </c>
    </row>
    <row r="30" spans="1:19" x14ac:dyDescent="0.35">
      <c r="A30">
        <v>261723</v>
      </c>
      <c r="B30">
        <v>44481</v>
      </c>
      <c r="C30">
        <v>10</v>
      </c>
      <c r="D30" t="s">
        <v>19</v>
      </c>
      <c r="E30">
        <v>2021</v>
      </c>
      <c r="F30">
        <v>34</v>
      </c>
      <c r="G30" t="s">
        <v>32</v>
      </c>
      <c r="H30" t="s">
        <v>21</v>
      </c>
      <c r="I30" t="s">
        <v>22</v>
      </c>
      <c r="J30" t="s">
        <v>38</v>
      </c>
      <c r="K30" t="s">
        <v>24</v>
      </c>
      <c r="L30" t="s">
        <v>25</v>
      </c>
      <c r="M30" t="s">
        <v>54</v>
      </c>
      <c r="N30">
        <v>1</v>
      </c>
      <c r="O30">
        <v>1912</v>
      </c>
      <c r="P30">
        <v>3400</v>
      </c>
      <c r="Q30">
        <v>1488</v>
      </c>
      <c r="R30">
        <v>1912</v>
      </c>
      <c r="S30">
        <v>3400</v>
      </c>
    </row>
    <row r="31" spans="1:19" x14ac:dyDescent="0.35">
      <c r="A31">
        <v>261724</v>
      </c>
      <c r="B31">
        <v>44481</v>
      </c>
      <c r="C31">
        <v>10</v>
      </c>
      <c r="D31" t="s">
        <v>19</v>
      </c>
      <c r="E31">
        <v>2021</v>
      </c>
      <c r="F31">
        <v>38</v>
      </c>
      <c r="G31" t="s">
        <v>20</v>
      </c>
      <c r="H31" t="s">
        <v>27</v>
      </c>
      <c r="I31" t="s">
        <v>33</v>
      </c>
      <c r="J31" t="s">
        <v>34</v>
      </c>
      <c r="K31" t="s">
        <v>24</v>
      </c>
      <c r="L31" t="s">
        <v>25</v>
      </c>
      <c r="M31" t="s">
        <v>37</v>
      </c>
      <c r="N31">
        <v>1</v>
      </c>
      <c r="O31">
        <v>1252</v>
      </c>
      <c r="P31">
        <v>2295</v>
      </c>
      <c r="Q31">
        <v>1043</v>
      </c>
      <c r="R31">
        <v>1252</v>
      </c>
      <c r="S31">
        <v>2295</v>
      </c>
    </row>
    <row r="32" spans="1:19" x14ac:dyDescent="0.35">
      <c r="A32">
        <v>261725</v>
      </c>
      <c r="B32">
        <v>44512</v>
      </c>
      <c r="C32">
        <v>11</v>
      </c>
      <c r="D32" t="s">
        <v>19</v>
      </c>
      <c r="E32">
        <v>2021</v>
      </c>
      <c r="F32">
        <v>24</v>
      </c>
      <c r="G32" t="s">
        <v>36</v>
      </c>
      <c r="H32" t="s">
        <v>21</v>
      </c>
      <c r="I32" t="s">
        <v>55</v>
      </c>
      <c r="J32" t="s">
        <v>56</v>
      </c>
      <c r="K32" t="s">
        <v>24</v>
      </c>
      <c r="L32" t="s">
        <v>25</v>
      </c>
      <c r="M32" t="s">
        <v>37</v>
      </c>
      <c r="N32">
        <v>3</v>
      </c>
      <c r="O32">
        <v>1252</v>
      </c>
      <c r="P32">
        <v>2295</v>
      </c>
      <c r="Q32">
        <v>3129</v>
      </c>
      <c r="R32">
        <v>3756</v>
      </c>
      <c r="S32">
        <v>6885</v>
      </c>
    </row>
    <row r="33" spans="1:19" x14ac:dyDescent="0.35">
      <c r="A33">
        <v>261726</v>
      </c>
      <c r="B33">
        <v>44512</v>
      </c>
      <c r="C33">
        <v>11</v>
      </c>
      <c r="D33" t="s">
        <v>19</v>
      </c>
      <c r="E33">
        <v>2021</v>
      </c>
      <c r="F33">
        <v>41</v>
      </c>
      <c r="G33" t="s">
        <v>20</v>
      </c>
      <c r="H33" t="s">
        <v>21</v>
      </c>
      <c r="I33" t="s">
        <v>33</v>
      </c>
      <c r="J33" t="s">
        <v>34</v>
      </c>
      <c r="K33" t="s">
        <v>24</v>
      </c>
      <c r="L33" t="s">
        <v>25</v>
      </c>
      <c r="M33" t="s">
        <v>46</v>
      </c>
      <c r="N33">
        <v>2</v>
      </c>
      <c r="O33">
        <v>420</v>
      </c>
      <c r="P33">
        <v>769</v>
      </c>
      <c r="Q33">
        <v>698</v>
      </c>
      <c r="R33">
        <v>840</v>
      </c>
      <c r="S33">
        <v>1538</v>
      </c>
    </row>
    <row r="34" spans="1:19" x14ac:dyDescent="0.35">
      <c r="A34">
        <v>261727</v>
      </c>
      <c r="B34">
        <v>44512</v>
      </c>
      <c r="C34">
        <v>11</v>
      </c>
      <c r="D34" t="s">
        <v>19</v>
      </c>
      <c r="E34">
        <v>2021</v>
      </c>
      <c r="F34">
        <v>27</v>
      </c>
      <c r="G34" t="s">
        <v>32</v>
      </c>
      <c r="H34" t="s">
        <v>27</v>
      </c>
      <c r="I34" t="s">
        <v>43</v>
      </c>
      <c r="J34" t="s">
        <v>44</v>
      </c>
      <c r="K34" t="s">
        <v>24</v>
      </c>
      <c r="L34" t="s">
        <v>25</v>
      </c>
      <c r="M34" t="s">
        <v>26</v>
      </c>
      <c r="N34">
        <v>1</v>
      </c>
      <c r="O34">
        <v>1252</v>
      </c>
      <c r="P34">
        <v>2295</v>
      </c>
      <c r="Q34">
        <v>1043</v>
      </c>
      <c r="R34">
        <v>1252</v>
      </c>
      <c r="S34">
        <v>2295</v>
      </c>
    </row>
    <row r="35" spans="1:19" x14ac:dyDescent="0.35">
      <c r="A35">
        <v>261728</v>
      </c>
      <c r="B35">
        <v>44512</v>
      </c>
      <c r="C35">
        <v>11</v>
      </c>
      <c r="D35" t="s">
        <v>19</v>
      </c>
      <c r="E35">
        <v>2021</v>
      </c>
      <c r="F35">
        <v>37</v>
      </c>
      <c r="G35" t="s">
        <v>20</v>
      </c>
      <c r="H35" t="s">
        <v>27</v>
      </c>
      <c r="I35" t="s">
        <v>22</v>
      </c>
      <c r="J35" t="s">
        <v>23</v>
      </c>
      <c r="K35" t="s">
        <v>24</v>
      </c>
      <c r="L35" t="s">
        <v>25</v>
      </c>
      <c r="M35" t="s">
        <v>31</v>
      </c>
      <c r="N35">
        <v>1</v>
      </c>
      <c r="O35">
        <v>420</v>
      </c>
      <c r="P35">
        <v>769</v>
      </c>
      <c r="Q35">
        <v>349</v>
      </c>
      <c r="R35">
        <v>420</v>
      </c>
      <c r="S35">
        <v>769</v>
      </c>
    </row>
    <row r="36" spans="1:19" x14ac:dyDescent="0.35">
      <c r="A36">
        <v>261729</v>
      </c>
      <c r="B36">
        <v>44512</v>
      </c>
      <c r="C36">
        <v>11</v>
      </c>
      <c r="D36" t="s">
        <v>19</v>
      </c>
      <c r="E36">
        <v>2021</v>
      </c>
      <c r="F36">
        <v>38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42</v>
      </c>
      <c r="N36">
        <v>1</v>
      </c>
      <c r="O36">
        <v>1266</v>
      </c>
      <c r="P36">
        <v>2320</v>
      </c>
      <c r="Q36">
        <v>1054</v>
      </c>
      <c r="R36">
        <v>1266</v>
      </c>
      <c r="S36">
        <v>2320</v>
      </c>
    </row>
    <row r="37" spans="1:19" x14ac:dyDescent="0.35">
      <c r="A37">
        <v>261730</v>
      </c>
      <c r="B37">
        <v>44542</v>
      </c>
      <c r="C37">
        <v>12</v>
      </c>
      <c r="D37" t="s">
        <v>19</v>
      </c>
      <c r="E37">
        <v>2021</v>
      </c>
      <c r="F37">
        <v>36</v>
      </c>
      <c r="G37" t="s">
        <v>20</v>
      </c>
      <c r="H37" t="s">
        <v>21</v>
      </c>
      <c r="I37" t="s">
        <v>33</v>
      </c>
      <c r="J37" t="s">
        <v>34</v>
      </c>
      <c r="K37" t="s">
        <v>24</v>
      </c>
      <c r="L37" t="s">
        <v>25</v>
      </c>
      <c r="M37" t="s">
        <v>30</v>
      </c>
      <c r="N37">
        <v>4</v>
      </c>
      <c r="O37">
        <v>1266</v>
      </c>
      <c r="P37">
        <v>2320</v>
      </c>
      <c r="Q37">
        <v>4216</v>
      </c>
      <c r="R37">
        <v>5064</v>
      </c>
      <c r="S37">
        <v>9280</v>
      </c>
    </row>
    <row r="38" spans="1:19" x14ac:dyDescent="0.35">
      <c r="A38">
        <v>261731</v>
      </c>
      <c r="B38">
        <v>44542</v>
      </c>
      <c r="C38">
        <v>12</v>
      </c>
      <c r="D38" t="s">
        <v>19</v>
      </c>
      <c r="E38">
        <v>2021</v>
      </c>
      <c r="F38">
        <v>37</v>
      </c>
      <c r="G38" t="s">
        <v>20</v>
      </c>
      <c r="H38" t="s">
        <v>27</v>
      </c>
      <c r="I38" t="s">
        <v>22</v>
      </c>
      <c r="J38" t="s">
        <v>23</v>
      </c>
      <c r="K38" t="s">
        <v>24</v>
      </c>
      <c r="L38" t="s">
        <v>25</v>
      </c>
      <c r="M38" t="s">
        <v>31</v>
      </c>
      <c r="N38">
        <v>4</v>
      </c>
      <c r="O38">
        <v>420</v>
      </c>
      <c r="P38">
        <v>769</v>
      </c>
      <c r="Q38">
        <v>1396</v>
      </c>
      <c r="R38">
        <v>1680</v>
      </c>
      <c r="S38">
        <v>3076</v>
      </c>
    </row>
    <row r="39" spans="1:19" x14ac:dyDescent="0.35">
      <c r="A39">
        <v>261732</v>
      </c>
      <c r="B39">
        <v>44542</v>
      </c>
      <c r="C39">
        <v>12</v>
      </c>
      <c r="D39" t="s">
        <v>19</v>
      </c>
      <c r="E39">
        <v>2021</v>
      </c>
      <c r="F39">
        <v>34</v>
      </c>
      <c r="G39" t="s">
        <v>32</v>
      </c>
      <c r="H39" t="s">
        <v>27</v>
      </c>
      <c r="I39" t="s">
        <v>33</v>
      </c>
      <c r="J39" t="s">
        <v>34</v>
      </c>
      <c r="K39" t="s">
        <v>24</v>
      </c>
      <c r="L39" t="s">
        <v>25</v>
      </c>
      <c r="M39" t="s">
        <v>37</v>
      </c>
      <c r="N39">
        <v>2</v>
      </c>
      <c r="O39">
        <v>1252</v>
      </c>
      <c r="P39">
        <v>2295</v>
      </c>
      <c r="Q39">
        <v>2086</v>
      </c>
      <c r="R39">
        <v>2504</v>
      </c>
      <c r="S39">
        <v>4590</v>
      </c>
    </row>
    <row r="40" spans="1:19" x14ac:dyDescent="0.35">
      <c r="A40">
        <v>261733</v>
      </c>
      <c r="B40">
        <v>44542</v>
      </c>
      <c r="C40">
        <v>12</v>
      </c>
      <c r="D40" t="s">
        <v>19</v>
      </c>
      <c r="E40">
        <v>2021</v>
      </c>
      <c r="F40">
        <v>35</v>
      </c>
      <c r="G40" t="s">
        <v>20</v>
      </c>
      <c r="H40" t="s">
        <v>21</v>
      </c>
      <c r="I40" t="s">
        <v>33</v>
      </c>
      <c r="J40" t="s">
        <v>50</v>
      </c>
      <c r="K40" t="s">
        <v>24</v>
      </c>
      <c r="L40" t="s">
        <v>25</v>
      </c>
      <c r="M40" t="s">
        <v>30</v>
      </c>
      <c r="N40">
        <v>1</v>
      </c>
      <c r="O40">
        <v>1266</v>
      </c>
      <c r="P40">
        <v>2320</v>
      </c>
      <c r="Q40">
        <v>1054</v>
      </c>
      <c r="R40">
        <v>1266</v>
      </c>
      <c r="S40">
        <v>2320</v>
      </c>
    </row>
    <row r="41" spans="1:19" x14ac:dyDescent="0.35">
      <c r="A41">
        <v>261734</v>
      </c>
      <c r="B41">
        <v>44542</v>
      </c>
      <c r="C41">
        <v>12</v>
      </c>
      <c r="D41" t="s">
        <v>19</v>
      </c>
      <c r="E41">
        <v>2021</v>
      </c>
      <c r="F41">
        <v>38</v>
      </c>
      <c r="G41" t="s">
        <v>20</v>
      </c>
      <c r="H41" t="s">
        <v>21</v>
      </c>
      <c r="I41" t="s">
        <v>22</v>
      </c>
      <c r="J41" t="s">
        <v>38</v>
      </c>
      <c r="K41" t="s">
        <v>24</v>
      </c>
      <c r="L41" t="s">
        <v>25</v>
      </c>
      <c r="M41" t="s">
        <v>30</v>
      </c>
      <c r="N41">
        <v>1</v>
      </c>
      <c r="O41">
        <v>1266</v>
      </c>
      <c r="P41">
        <v>2320</v>
      </c>
      <c r="Q41">
        <v>1054</v>
      </c>
      <c r="R41">
        <v>1266</v>
      </c>
      <c r="S41">
        <v>2320</v>
      </c>
    </row>
    <row r="42" spans="1:19" x14ac:dyDescent="0.35">
      <c r="A42">
        <v>261735</v>
      </c>
      <c r="B42" t="s">
        <v>57</v>
      </c>
      <c r="C42">
        <v>13</v>
      </c>
      <c r="D42" t="s">
        <v>19</v>
      </c>
      <c r="E42">
        <v>2021</v>
      </c>
      <c r="F42">
        <v>32</v>
      </c>
      <c r="G42" t="s">
        <v>32</v>
      </c>
      <c r="H42" t="s">
        <v>21</v>
      </c>
      <c r="I42" t="s">
        <v>33</v>
      </c>
      <c r="J42" t="s">
        <v>41</v>
      </c>
      <c r="K42" t="s">
        <v>24</v>
      </c>
      <c r="L42" t="s">
        <v>25</v>
      </c>
      <c r="M42" t="s">
        <v>30</v>
      </c>
      <c r="N42">
        <v>3</v>
      </c>
      <c r="O42">
        <v>1266</v>
      </c>
      <c r="P42">
        <v>2320</v>
      </c>
      <c r="Q42">
        <v>3162</v>
      </c>
      <c r="R42">
        <v>3798</v>
      </c>
      <c r="S42">
        <v>6960</v>
      </c>
    </row>
    <row r="43" spans="1:19" x14ac:dyDescent="0.35">
      <c r="A43">
        <v>261736</v>
      </c>
      <c r="B43" t="s">
        <v>57</v>
      </c>
      <c r="C43">
        <v>13</v>
      </c>
      <c r="D43" t="s">
        <v>19</v>
      </c>
      <c r="E43">
        <v>2021</v>
      </c>
      <c r="F43">
        <v>40</v>
      </c>
      <c r="G43" t="s">
        <v>20</v>
      </c>
      <c r="H43" t="s">
        <v>21</v>
      </c>
      <c r="I43" t="s">
        <v>22</v>
      </c>
      <c r="J43" t="s">
        <v>23</v>
      </c>
      <c r="K43" t="s">
        <v>24</v>
      </c>
      <c r="L43" t="s">
        <v>25</v>
      </c>
      <c r="M43" t="s">
        <v>58</v>
      </c>
      <c r="N43">
        <v>1</v>
      </c>
      <c r="O43">
        <v>308</v>
      </c>
      <c r="P43">
        <v>565</v>
      </c>
      <c r="Q43">
        <v>257</v>
      </c>
      <c r="R43">
        <v>308</v>
      </c>
      <c r="S43">
        <v>565</v>
      </c>
    </row>
    <row r="44" spans="1:19" x14ac:dyDescent="0.35">
      <c r="A44">
        <v>261737</v>
      </c>
      <c r="B44" t="s">
        <v>57</v>
      </c>
      <c r="C44">
        <v>13</v>
      </c>
      <c r="D44" t="s">
        <v>19</v>
      </c>
      <c r="E44">
        <v>2021</v>
      </c>
      <c r="F44">
        <v>44</v>
      </c>
      <c r="G44" t="s">
        <v>20</v>
      </c>
      <c r="H44" t="s">
        <v>21</v>
      </c>
      <c r="I44" t="s">
        <v>28</v>
      </c>
      <c r="J44" t="s">
        <v>29</v>
      </c>
      <c r="K44" t="s">
        <v>24</v>
      </c>
      <c r="L44" t="s">
        <v>25</v>
      </c>
      <c r="M44" t="s">
        <v>37</v>
      </c>
      <c r="N44">
        <v>1</v>
      </c>
      <c r="O44">
        <v>1252</v>
      </c>
      <c r="P44">
        <v>2295</v>
      </c>
      <c r="Q44">
        <v>1043</v>
      </c>
      <c r="R44">
        <v>1252</v>
      </c>
      <c r="S44">
        <v>2295</v>
      </c>
    </row>
    <row r="45" spans="1:19" x14ac:dyDescent="0.35">
      <c r="A45">
        <v>261738</v>
      </c>
      <c r="B45" t="s">
        <v>57</v>
      </c>
      <c r="C45">
        <v>13</v>
      </c>
      <c r="D45" t="s">
        <v>19</v>
      </c>
      <c r="E45">
        <v>2021</v>
      </c>
      <c r="F45">
        <v>49</v>
      </c>
      <c r="G45" t="s">
        <v>20</v>
      </c>
      <c r="H45" t="s">
        <v>27</v>
      </c>
      <c r="I45" t="s">
        <v>28</v>
      </c>
      <c r="J45" t="s">
        <v>29</v>
      </c>
      <c r="K45" t="s">
        <v>24</v>
      </c>
      <c r="L45" t="s">
        <v>25</v>
      </c>
      <c r="M45" t="s">
        <v>37</v>
      </c>
      <c r="N45">
        <v>1</v>
      </c>
      <c r="O45">
        <v>1252</v>
      </c>
      <c r="P45">
        <v>2295</v>
      </c>
      <c r="Q45">
        <v>1043</v>
      </c>
      <c r="R45">
        <v>1252</v>
      </c>
      <c r="S45">
        <v>2295</v>
      </c>
    </row>
    <row r="46" spans="1:19" x14ac:dyDescent="0.35">
      <c r="A46">
        <v>261739</v>
      </c>
      <c r="B46" t="s">
        <v>59</v>
      </c>
      <c r="C46">
        <v>14</v>
      </c>
      <c r="D46" t="s">
        <v>19</v>
      </c>
      <c r="E46">
        <v>2021</v>
      </c>
      <c r="F46">
        <v>30</v>
      </c>
      <c r="G46" t="s">
        <v>32</v>
      </c>
      <c r="H46" t="s">
        <v>21</v>
      </c>
      <c r="I46" t="s">
        <v>22</v>
      </c>
      <c r="J46" t="s">
        <v>38</v>
      </c>
      <c r="K46" t="s">
        <v>24</v>
      </c>
      <c r="L46" t="s">
        <v>25</v>
      </c>
      <c r="M46" t="s">
        <v>42</v>
      </c>
      <c r="N46">
        <v>2</v>
      </c>
      <c r="O46">
        <v>1266</v>
      </c>
      <c r="P46">
        <v>2320</v>
      </c>
      <c r="Q46">
        <v>2108</v>
      </c>
      <c r="R46">
        <v>2532</v>
      </c>
      <c r="S46">
        <v>4640</v>
      </c>
    </row>
    <row r="47" spans="1:19" x14ac:dyDescent="0.35">
      <c r="A47">
        <v>261740</v>
      </c>
      <c r="B47" t="s">
        <v>59</v>
      </c>
      <c r="C47">
        <v>14</v>
      </c>
      <c r="D47" t="s">
        <v>19</v>
      </c>
      <c r="E47">
        <v>2021</v>
      </c>
      <c r="F47">
        <v>32</v>
      </c>
      <c r="G47" t="s">
        <v>32</v>
      </c>
      <c r="H47" t="s">
        <v>27</v>
      </c>
      <c r="I47" t="s">
        <v>22</v>
      </c>
      <c r="J47" t="s">
        <v>23</v>
      </c>
      <c r="K47" t="s">
        <v>24</v>
      </c>
      <c r="L47" t="s">
        <v>25</v>
      </c>
      <c r="M47" t="s">
        <v>26</v>
      </c>
      <c r="N47">
        <v>1</v>
      </c>
      <c r="O47">
        <v>1252</v>
      </c>
      <c r="P47">
        <v>2295</v>
      </c>
      <c r="Q47">
        <v>1043</v>
      </c>
      <c r="R47">
        <v>1252</v>
      </c>
      <c r="S47">
        <v>2295</v>
      </c>
    </row>
    <row r="48" spans="1:19" x14ac:dyDescent="0.35">
      <c r="A48">
        <v>261741</v>
      </c>
      <c r="B48" t="s">
        <v>59</v>
      </c>
      <c r="C48">
        <v>14</v>
      </c>
      <c r="D48" t="s">
        <v>19</v>
      </c>
      <c r="E48">
        <v>2021</v>
      </c>
      <c r="F48">
        <v>32</v>
      </c>
      <c r="G48" t="s">
        <v>32</v>
      </c>
      <c r="H48" t="s">
        <v>21</v>
      </c>
      <c r="I48" t="s">
        <v>33</v>
      </c>
      <c r="J48" t="s">
        <v>50</v>
      </c>
      <c r="K48" t="s">
        <v>24</v>
      </c>
      <c r="L48" t="s">
        <v>25</v>
      </c>
      <c r="M48" t="s">
        <v>31</v>
      </c>
      <c r="N48">
        <v>1</v>
      </c>
      <c r="O48">
        <v>420</v>
      </c>
      <c r="P48">
        <v>769</v>
      </c>
      <c r="Q48">
        <v>349</v>
      </c>
      <c r="R48">
        <v>420</v>
      </c>
      <c r="S48">
        <v>769</v>
      </c>
    </row>
    <row r="49" spans="1:19" x14ac:dyDescent="0.35">
      <c r="A49">
        <v>261742</v>
      </c>
      <c r="B49" t="s">
        <v>60</v>
      </c>
      <c r="C49">
        <v>15</v>
      </c>
      <c r="D49" t="s">
        <v>19</v>
      </c>
      <c r="E49">
        <v>2021</v>
      </c>
      <c r="F49">
        <v>29</v>
      </c>
      <c r="G49" t="s">
        <v>32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30</v>
      </c>
      <c r="N49">
        <v>1</v>
      </c>
      <c r="O49">
        <v>1266</v>
      </c>
      <c r="P49">
        <v>2320</v>
      </c>
      <c r="Q49">
        <v>1054</v>
      </c>
      <c r="R49">
        <v>1266</v>
      </c>
      <c r="S49">
        <v>2320</v>
      </c>
    </row>
    <row r="50" spans="1:19" x14ac:dyDescent="0.35">
      <c r="A50">
        <v>261743</v>
      </c>
      <c r="B50" t="s">
        <v>61</v>
      </c>
      <c r="C50">
        <v>16</v>
      </c>
      <c r="D50" t="s">
        <v>19</v>
      </c>
      <c r="E50">
        <v>2021</v>
      </c>
      <c r="F50">
        <v>33</v>
      </c>
      <c r="G50" t="s">
        <v>32</v>
      </c>
      <c r="H50" t="s">
        <v>21</v>
      </c>
      <c r="I50" t="s">
        <v>33</v>
      </c>
      <c r="J50" t="s">
        <v>34</v>
      </c>
      <c r="K50" t="s">
        <v>24</v>
      </c>
      <c r="L50" t="s">
        <v>25</v>
      </c>
      <c r="M50" t="s">
        <v>37</v>
      </c>
      <c r="N50">
        <v>2</v>
      </c>
      <c r="O50">
        <v>1252</v>
      </c>
      <c r="P50">
        <v>2295</v>
      </c>
      <c r="Q50">
        <v>2086</v>
      </c>
      <c r="R50">
        <v>2504</v>
      </c>
      <c r="S50">
        <v>4590</v>
      </c>
    </row>
    <row r="51" spans="1:19" x14ac:dyDescent="0.35">
      <c r="A51">
        <v>261744</v>
      </c>
      <c r="B51" t="s">
        <v>61</v>
      </c>
      <c r="C51">
        <v>16</v>
      </c>
      <c r="D51" t="s">
        <v>19</v>
      </c>
      <c r="E51">
        <v>2021</v>
      </c>
      <c r="F51">
        <v>38</v>
      </c>
      <c r="G51" t="s">
        <v>20</v>
      </c>
      <c r="H51" t="s">
        <v>27</v>
      </c>
      <c r="I51" t="s">
        <v>33</v>
      </c>
      <c r="J51" t="s">
        <v>34</v>
      </c>
      <c r="K51" t="s">
        <v>24</v>
      </c>
      <c r="L51" t="s">
        <v>25</v>
      </c>
      <c r="M51" t="s">
        <v>37</v>
      </c>
      <c r="N51">
        <v>2</v>
      </c>
      <c r="O51">
        <v>1252</v>
      </c>
      <c r="P51">
        <v>2295</v>
      </c>
      <c r="Q51">
        <v>2086</v>
      </c>
      <c r="R51">
        <v>2504</v>
      </c>
      <c r="S51">
        <v>4590</v>
      </c>
    </row>
    <row r="52" spans="1:19" x14ac:dyDescent="0.35">
      <c r="A52">
        <v>261745</v>
      </c>
      <c r="B52" t="s">
        <v>61</v>
      </c>
      <c r="C52">
        <v>16</v>
      </c>
      <c r="D52" t="s">
        <v>19</v>
      </c>
      <c r="E52">
        <v>2021</v>
      </c>
      <c r="F52">
        <v>27</v>
      </c>
      <c r="G52" t="s">
        <v>32</v>
      </c>
      <c r="H52" t="s">
        <v>21</v>
      </c>
      <c r="I52" t="s">
        <v>55</v>
      </c>
      <c r="J52" t="s">
        <v>62</v>
      </c>
      <c r="K52" t="s">
        <v>24</v>
      </c>
      <c r="L52" t="s">
        <v>25</v>
      </c>
      <c r="M52" t="s">
        <v>63</v>
      </c>
      <c r="N52">
        <v>1</v>
      </c>
      <c r="O52">
        <v>1266</v>
      </c>
      <c r="P52">
        <v>2320</v>
      </c>
      <c r="Q52">
        <v>1054</v>
      </c>
      <c r="R52">
        <v>1266</v>
      </c>
      <c r="S52">
        <v>2320</v>
      </c>
    </row>
    <row r="53" spans="1:19" x14ac:dyDescent="0.35">
      <c r="A53">
        <v>261746</v>
      </c>
      <c r="B53" t="s">
        <v>64</v>
      </c>
      <c r="C53">
        <v>17</v>
      </c>
      <c r="D53" t="s">
        <v>19</v>
      </c>
      <c r="E53">
        <v>2021</v>
      </c>
      <c r="F53">
        <v>37</v>
      </c>
      <c r="G53" t="s">
        <v>20</v>
      </c>
      <c r="H53" t="s">
        <v>21</v>
      </c>
      <c r="I53" t="s">
        <v>22</v>
      </c>
      <c r="J53" t="s">
        <v>38</v>
      </c>
      <c r="K53" t="s">
        <v>24</v>
      </c>
      <c r="L53" t="s">
        <v>25</v>
      </c>
      <c r="M53" t="s">
        <v>42</v>
      </c>
      <c r="N53">
        <v>2</v>
      </c>
      <c r="O53">
        <v>1266</v>
      </c>
      <c r="P53">
        <v>2320</v>
      </c>
      <c r="Q53">
        <v>2108</v>
      </c>
      <c r="R53">
        <v>2532</v>
      </c>
      <c r="S53">
        <v>4640</v>
      </c>
    </row>
    <row r="54" spans="1:19" x14ac:dyDescent="0.35">
      <c r="A54">
        <v>261747</v>
      </c>
      <c r="B54" t="s">
        <v>64</v>
      </c>
      <c r="C54">
        <v>17</v>
      </c>
      <c r="D54" t="s">
        <v>19</v>
      </c>
      <c r="E54">
        <v>2021</v>
      </c>
      <c r="F54">
        <v>31</v>
      </c>
      <c r="G54" t="s">
        <v>32</v>
      </c>
      <c r="H54" t="s">
        <v>27</v>
      </c>
      <c r="I54" t="s">
        <v>33</v>
      </c>
      <c r="J54" t="s">
        <v>34</v>
      </c>
      <c r="K54" t="s">
        <v>24</v>
      </c>
      <c r="L54" t="s">
        <v>25</v>
      </c>
      <c r="M54" t="s">
        <v>35</v>
      </c>
      <c r="N54">
        <v>1</v>
      </c>
      <c r="O54">
        <v>420</v>
      </c>
      <c r="P54">
        <v>769</v>
      </c>
      <c r="Q54">
        <v>349</v>
      </c>
      <c r="R54">
        <v>420</v>
      </c>
      <c r="S54">
        <v>769</v>
      </c>
    </row>
    <row r="55" spans="1:19" x14ac:dyDescent="0.35">
      <c r="A55">
        <v>261748</v>
      </c>
      <c r="B55" t="s">
        <v>64</v>
      </c>
      <c r="C55">
        <v>17</v>
      </c>
      <c r="D55" t="s">
        <v>19</v>
      </c>
      <c r="E55">
        <v>2021</v>
      </c>
      <c r="F55">
        <v>42</v>
      </c>
      <c r="G55" t="s">
        <v>20</v>
      </c>
      <c r="H55" t="s">
        <v>21</v>
      </c>
      <c r="I55" t="s">
        <v>39</v>
      </c>
      <c r="J55" t="s">
        <v>40</v>
      </c>
      <c r="K55" t="s">
        <v>24</v>
      </c>
      <c r="L55" t="s">
        <v>25</v>
      </c>
      <c r="M55" t="s">
        <v>63</v>
      </c>
      <c r="N55">
        <v>1</v>
      </c>
      <c r="O55">
        <v>1266</v>
      </c>
      <c r="P55">
        <v>2320</v>
      </c>
      <c r="Q55">
        <v>1054</v>
      </c>
      <c r="R55">
        <v>1266</v>
      </c>
      <c r="S55">
        <v>2320</v>
      </c>
    </row>
    <row r="56" spans="1:19" x14ac:dyDescent="0.35">
      <c r="A56">
        <v>261749</v>
      </c>
      <c r="B56" t="s">
        <v>65</v>
      </c>
      <c r="C56">
        <v>18</v>
      </c>
      <c r="D56" t="s">
        <v>19</v>
      </c>
      <c r="E56">
        <v>2021</v>
      </c>
      <c r="F56">
        <v>35</v>
      </c>
      <c r="G56" t="s">
        <v>20</v>
      </c>
      <c r="H56" t="s">
        <v>21</v>
      </c>
      <c r="I56" t="s">
        <v>33</v>
      </c>
      <c r="J56" t="s">
        <v>34</v>
      </c>
      <c r="K56" t="s">
        <v>24</v>
      </c>
      <c r="L56" t="s">
        <v>25</v>
      </c>
      <c r="M56" t="s">
        <v>47</v>
      </c>
      <c r="N56">
        <v>4</v>
      </c>
      <c r="O56">
        <v>308</v>
      </c>
      <c r="P56">
        <v>565</v>
      </c>
      <c r="Q56">
        <v>1028</v>
      </c>
      <c r="R56">
        <v>1232</v>
      </c>
      <c r="S56">
        <v>2260</v>
      </c>
    </row>
    <row r="57" spans="1:19" x14ac:dyDescent="0.35">
      <c r="A57">
        <v>261750</v>
      </c>
      <c r="B57" t="s">
        <v>65</v>
      </c>
      <c r="C57">
        <v>18</v>
      </c>
      <c r="D57" t="s">
        <v>19</v>
      </c>
      <c r="E57">
        <v>2021</v>
      </c>
      <c r="F57">
        <v>38</v>
      </c>
      <c r="G57" t="s">
        <v>20</v>
      </c>
      <c r="H57" t="s">
        <v>21</v>
      </c>
      <c r="I57" t="s">
        <v>39</v>
      </c>
      <c r="J57" t="s">
        <v>40</v>
      </c>
      <c r="K57" t="s">
        <v>24</v>
      </c>
      <c r="L57" t="s">
        <v>25</v>
      </c>
      <c r="M57" t="s">
        <v>63</v>
      </c>
      <c r="N57">
        <v>4</v>
      </c>
      <c r="O57">
        <v>1266</v>
      </c>
      <c r="P57">
        <v>2320</v>
      </c>
      <c r="Q57">
        <v>4216</v>
      </c>
      <c r="R57">
        <v>5064</v>
      </c>
      <c r="S57">
        <v>9280</v>
      </c>
    </row>
    <row r="58" spans="1:19" x14ac:dyDescent="0.35">
      <c r="A58">
        <v>261751</v>
      </c>
      <c r="B58" t="s">
        <v>65</v>
      </c>
      <c r="C58">
        <v>18</v>
      </c>
      <c r="D58" t="s">
        <v>19</v>
      </c>
      <c r="E58">
        <v>2021</v>
      </c>
      <c r="F58">
        <v>24</v>
      </c>
      <c r="G58" t="s">
        <v>36</v>
      </c>
      <c r="H58" t="s">
        <v>21</v>
      </c>
      <c r="I58" t="s">
        <v>55</v>
      </c>
      <c r="J58" t="s">
        <v>66</v>
      </c>
      <c r="K58" t="s">
        <v>24</v>
      </c>
      <c r="L58" t="s">
        <v>25</v>
      </c>
      <c r="M58" t="s">
        <v>42</v>
      </c>
      <c r="N58">
        <v>3</v>
      </c>
      <c r="O58">
        <v>1266</v>
      </c>
      <c r="P58">
        <v>2320</v>
      </c>
      <c r="Q58">
        <v>3162</v>
      </c>
      <c r="R58">
        <v>3798</v>
      </c>
      <c r="S58">
        <v>6960</v>
      </c>
    </row>
    <row r="59" spans="1:19" x14ac:dyDescent="0.35">
      <c r="A59">
        <v>261752</v>
      </c>
      <c r="B59" t="s">
        <v>65</v>
      </c>
      <c r="C59">
        <v>18</v>
      </c>
      <c r="D59" t="s">
        <v>19</v>
      </c>
      <c r="E59">
        <v>2021</v>
      </c>
      <c r="F59">
        <v>26</v>
      </c>
      <c r="G59" t="s">
        <v>32</v>
      </c>
      <c r="H59" t="s">
        <v>21</v>
      </c>
      <c r="I59" t="s">
        <v>28</v>
      </c>
      <c r="J59" t="s">
        <v>29</v>
      </c>
      <c r="K59" t="s">
        <v>24</v>
      </c>
      <c r="L59" t="s">
        <v>25</v>
      </c>
      <c r="M59" t="s">
        <v>35</v>
      </c>
      <c r="N59">
        <v>3</v>
      </c>
      <c r="O59">
        <v>420</v>
      </c>
      <c r="P59">
        <v>769</v>
      </c>
      <c r="Q59">
        <v>1047</v>
      </c>
      <c r="R59">
        <v>1260</v>
      </c>
      <c r="S59">
        <v>2307</v>
      </c>
    </row>
    <row r="60" spans="1:19" x14ac:dyDescent="0.35">
      <c r="A60">
        <v>261753</v>
      </c>
      <c r="B60" t="s">
        <v>65</v>
      </c>
      <c r="C60">
        <v>18</v>
      </c>
      <c r="D60" t="s">
        <v>19</v>
      </c>
      <c r="E60">
        <v>2021</v>
      </c>
      <c r="F60">
        <v>39</v>
      </c>
      <c r="G60" t="s">
        <v>20</v>
      </c>
      <c r="H60" t="s">
        <v>27</v>
      </c>
      <c r="I60" t="s">
        <v>22</v>
      </c>
      <c r="J60" t="s">
        <v>23</v>
      </c>
      <c r="K60" t="s">
        <v>24</v>
      </c>
      <c r="L60" t="s">
        <v>25</v>
      </c>
      <c r="M60" t="s">
        <v>45</v>
      </c>
      <c r="N60">
        <v>3</v>
      </c>
      <c r="O60">
        <v>1252</v>
      </c>
      <c r="P60">
        <v>2295</v>
      </c>
      <c r="Q60">
        <v>3129</v>
      </c>
      <c r="R60">
        <v>3756</v>
      </c>
      <c r="S60">
        <v>6885</v>
      </c>
    </row>
    <row r="61" spans="1:19" x14ac:dyDescent="0.35">
      <c r="A61">
        <v>261754</v>
      </c>
      <c r="B61" t="s">
        <v>65</v>
      </c>
      <c r="C61">
        <v>18</v>
      </c>
      <c r="D61" t="s">
        <v>19</v>
      </c>
      <c r="E61">
        <v>2021</v>
      </c>
      <c r="F61">
        <v>26</v>
      </c>
      <c r="G61" t="s">
        <v>32</v>
      </c>
      <c r="H61" t="s">
        <v>27</v>
      </c>
      <c r="I61" t="s">
        <v>55</v>
      </c>
      <c r="J61" t="s">
        <v>56</v>
      </c>
      <c r="K61" t="s">
        <v>24</v>
      </c>
      <c r="L61" t="s">
        <v>25</v>
      </c>
      <c r="M61" t="s">
        <v>26</v>
      </c>
      <c r="N61">
        <v>1</v>
      </c>
      <c r="O61">
        <v>1252</v>
      </c>
      <c r="P61">
        <v>2295</v>
      </c>
      <c r="Q61">
        <v>1043</v>
      </c>
      <c r="R61">
        <v>1252</v>
      </c>
      <c r="S61">
        <v>2295</v>
      </c>
    </row>
    <row r="62" spans="1:19" x14ac:dyDescent="0.35">
      <c r="A62">
        <v>261755</v>
      </c>
      <c r="B62" t="s">
        <v>65</v>
      </c>
      <c r="C62">
        <v>18</v>
      </c>
      <c r="D62" t="s">
        <v>19</v>
      </c>
      <c r="E62">
        <v>2021</v>
      </c>
      <c r="F62">
        <v>36</v>
      </c>
      <c r="G62" t="s">
        <v>20</v>
      </c>
      <c r="H62" t="s">
        <v>27</v>
      </c>
      <c r="I62" t="s">
        <v>22</v>
      </c>
      <c r="J62" t="s">
        <v>38</v>
      </c>
      <c r="K62" t="s">
        <v>24</v>
      </c>
      <c r="L62" t="s">
        <v>25</v>
      </c>
      <c r="M62" t="s">
        <v>42</v>
      </c>
      <c r="N62">
        <v>1</v>
      </c>
      <c r="O62">
        <v>1266</v>
      </c>
      <c r="P62">
        <v>2320</v>
      </c>
      <c r="Q62">
        <v>1054</v>
      </c>
      <c r="R62">
        <v>1266</v>
      </c>
      <c r="S62">
        <v>2320</v>
      </c>
    </row>
    <row r="63" spans="1:19" x14ac:dyDescent="0.35">
      <c r="A63">
        <v>261756</v>
      </c>
      <c r="B63" t="s">
        <v>67</v>
      </c>
      <c r="C63">
        <v>19</v>
      </c>
      <c r="D63" t="s">
        <v>19</v>
      </c>
      <c r="E63">
        <v>2021</v>
      </c>
      <c r="F63">
        <v>17</v>
      </c>
      <c r="G63" t="s">
        <v>36</v>
      </c>
      <c r="H63" t="s">
        <v>27</v>
      </c>
      <c r="I63" t="s">
        <v>55</v>
      </c>
      <c r="J63" t="s">
        <v>68</v>
      </c>
      <c r="K63" t="s">
        <v>24</v>
      </c>
      <c r="L63" t="s">
        <v>25</v>
      </c>
      <c r="M63" t="s">
        <v>63</v>
      </c>
      <c r="N63">
        <v>4</v>
      </c>
      <c r="O63">
        <v>1266</v>
      </c>
      <c r="P63">
        <v>2320</v>
      </c>
      <c r="Q63">
        <v>4216</v>
      </c>
      <c r="R63">
        <v>5064</v>
      </c>
      <c r="S63">
        <v>9280</v>
      </c>
    </row>
    <row r="64" spans="1:19" x14ac:dyDescent="0.35">
      <c r="A64">
        <v>261757</v>
      </c>
      <c r="B64" t="s">
        <v>67</v>
      </c>
      <c r="C64">
        <v>19</v>
      </c>
      <c r="D64" t="s">
        <v>19</v>
      </c>
      <c r="E64">
        <v>2021</v>
      </c>
      <c r="F64">
        <v>19</v>
      </c>
      <c r="G64" t="s">
        <v>36</v>
      </c>
      <c r="H64" t="s">
        <v>21</v>
      </c>
      <c r="I64" t="s">
        <v>33</v>
      </c>
      <c r="J64" t="s">
        <v>50</v>
      </c>
      <c r="K64" t="s">
        <v>24</v>
      </c>
      <c r="L64" t="s">
        <v>25</v>
      </c>
      <c r="M64" t="s">
        <v>69</v>
      </c>
      <c r="N64">
        <v>4</v>
      </c>
      <c r="O64">
        <v>295</v>
      </c>
      <c r="P64">
        <v>540</v>
      </c>
      <c r="Q64">
        <v>980</v>
      </c>
      <c r="R64">
        <v>1180</v>
      </c>
      <c r="S64">
        <v>2160</v>
      </c>
    </row>
    <row r="65" spans="1:19" x14ac:dyDescent="0.35">
      <c r="A65">
        <v>261758</v>
      </c>
      <c r="B65" t="s">
        <v>67</v>
      </c>
      <c r="C65">
        <v>19</v>
      </c>
      <c r="D65" t="s">
        <v>19</v>
      </c>
      <c r="E65">
        <v>2021</v>
      </c>
      <c r="F65">
        <v>25</v>
      </c>
      <c r="G65" t="s">
        <v>32</v>
      </c>
      <c r="H65" t="s">
        <v>27</v>
      </c>
      <c r="I65" t="s">
        <v>55</v>
      </c>
      <c r="J65" t="s">
        <v>56</v>
      </c>
      <c r="K65" t="s">
        <v>24</v>
      </c>
      <c r="L65" t="s">
        <v>25</v>
      </c>
      <c r="M65" t="s">
        <v>37</v>
      </c>
      <c r="N65">
        <v>4</v>
      </c>
      <c r="O65">
        <v>1252</v>
      </c>
      <c r="P65">
        <v>2295</v>
      </c>
      <c r="Q65">
        <v>4172</v>
      </c>
      <c r="R65">
        <v>5008</v>
      </c>
      <c r="S65">
        <v>9180</v>
      </c>
    </row>
    <row r="66" spans="1:19" x14ac:dyDescent="0.35">
      <c r="A66">
        <v>261759</v>
      </c>
      <c r="B66" t="s">
        <v>67</v>
      </c>
      <c r="C66">
        <v>19</v>
      </c>
      <c r="D66" t="s">
        <v>19</v>
      </c>
      <c r="E66">
        <v>2021</v>
      </c>
      <c r="F66">
        <v>35</v>
      </c>
      <c r="G66" t="s">
        <v>20</v>
      </c>
      <c r="H66" t="s">
        <v>21</v>
      </c>
      <c r="I66" t="s">
        <v>22</v>
      </c>
      <c r="J66" t="s">
        <v>48</v>
      </c>
      <c r="K66" t="s">
        <v>24</v>
      </c>
      <c r="L66" t="s">
        <v>25</v>
      </c>
      <c r="M66" t="s">
        <v>70</v>
      </c>
      <c r="N66">
        <v>4</v>
      </c>
      <c r="O66">
        <v>1898</v>
      </c>
      <c r="P66">
        <v>3375</v>
      </c>
      <c r="Q66">
        <v>5908</v>
      </c>
      <c r="R66">
        <v>7592</v>
      </c>
      <c r="S66">
        <v>13500</v>
      </c>
    </row>
    <row r="67" spans="1:19" x14ac:dyDescent="0.35">
      <c r="A67">
        <v>261760</v>
      </c>
      <c r="B67" t="s">
        <v>67</v>
      </c>
      <c r="C67">
        <v>19</v>
      </c>
      <c r="D67" t="s">
        <v>19</v>
      </c>
      <c r="E67">
        <v>2021</v>
      </c>
      <c r="F67">
        <v>37</v>
      </c>
      <c r="G67" t="s">
        <v>20</v>
      </c>
      <c r="H67" t="s">
        <v>27</v>
      </c>
      <c r="I67" t="s">
        <v>22</v>
      </c>
      <c r="J67" t="s">
        <v>48</v>
      </c>
      <c r="K67" t="s">
        <v>24</v>
      </c>
      <c r="L67" t="s">
        <v>25</v>
      </c>
      <c r="M67" t="s">
        <v>37</v>
      </c>
      <c r="N67">
        <v>4</v>
      </c>
      <c r="O67">
        <v>1252</v>
      </c>
      <c r="P67">
        <v>2295</v>
      </c>
      <c r="Q67">
        <v>4172</v>
      </c>
      <c r="R67">
        <v>5008</v>
      </c>
      <c r="S67">
        <v>9180</v>
      </c>
    </row>
    <row r="68" spans="1:19" x14ac:dyDescent="0.35">
      <c r="A68">
        <v>261761</v>
      </c>
      <c r="B68" t="s">
        <v>67</v>
      </c>
      <c r="C68">
        <v>19</v>
      </c>
      <c r="D68" t="s">
        <v>19</v>
      </c>
      <c r="E68">
        <v>2021</v>
      </c>
      <c r="F68">
        <v>39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26</v>
      </c>
      <c r="N68">
        <v>4</v>
      </c>
      <c r="O68">
        <v>1252</v>
      </c>
      <c r="P68">
        <v>2295</v>
      </c>
      <c r="Q68">
        <v>4172</v>
      </c>
      <c r="R68">
        <v>5008</v>
      </c>
      <c r="S68">
        <v>9180</v>
      </c>
    </row>
    <row r="69" spans="1:19" x14ac:dyDescent="0.35">
      <c r="A69">
        <v>261762</v>
      </c>
      <c r="B69" t="s">
        <v>67</v>
      </c>
      <c r="C69">
        <v>19</v>
      </c>
      <c r="D69" t="s">
        <v>19</v>
      </c>
      <c r="E69">
        <v>2021</v>
      </c>
      <c r="F69">
        <v>63</v>
      </c>
      <c r="G69" t="s">
        <v>20</v>
      </c>
      <c r="H69" t="s">
        <v>21</v>
      </c>
      <c r="I69" t="s">
        <v>33</v>
      </c>
      <c r="J69" t="s">
        <v>41</v>
      </c>
      <c r="K69" t="s">
        <v>24</v>
      </c>
      <c r="L69" t="s">
        <v>25</v>
      </c>
      <c r="M69" t="s">
        <v>26</v>
      </c>
      <c r="N69">
        <v>4</v>
      </c>
      <c r="O69">
        <v>1252</v>
      </c>
      <c r="P69">
        <v>2295</v>
      </c>
      <c r="Q69">
        <v>4172</v>
      </c>
      <c r="R69">
        <v>5008</v>
      </c>
      <c r="S69">
        <v>9180</v>
      </c>
    </row>
    <row r="70" spans="1:19" x14ac:dyDescent="0.35">
      <c r="A70">
        <v>261763</v>
      </c>
      <c r="B70" t="s">
        <v>67</v>
      </c>
      <c r="C70">
        <v>19</v>
      </c>
      <c r="D70" t="s">
        <v>19</v>
      </c>
      <c r="E70">
        <v>2021</v>
      </c>
      <c r="F70">
        <v>18</v>
      </c>
      <c r="G70" t="s">
        <v>36</v>
      </c>
      <c r="H70" t="s">
        <v>27</v>
      </c>
      <c r="I70" t="s">
        <v>33</v>
      </c>
      <c r="J70" t="s">
        <v>71</v>
      </c>
      <c r="K70" t="s">
        <v>24</v>
      </c>
      <c r="L70" t="s">
        <v>25</v>
      </c>
      <c r="M70" t="s">
        <v>53</v>
      </c>
      <c r="N70">
        <v>2</v>
      </c>
      <c r="O70">
        <v>295</v>
      </c>
      <c r="P70">
        <v>540</v>
      </c>
      <c r="Q70">
        <v>490</v>
      </c>
      <c r="R70">
        <v>590</v>
      </c>
      <c r="S70">
        <v>1080</v>
      </c>
    </row>
    <row r="71" spans="1:19" x14ac:dyDescent="0.35">
      <c r="A71">
        <v>261764</v>
      </c>
      <c r="B71" t="s">
        <v>67</v>
      </c>
      <c r="C71">
        <v>19</v>
      </c>
      <c r="D71" t="s">
        <v>19</v>
      </c>
      <c r="E71">
        <v>2021</v>
      </c>
      <c r="F71">
        <v>56</v>
      </c>
      <c r="G71" t="s">
        <v>20</v>
      </c>
      <c r="H71" t="s">
        <v>21</v>
      </c>
      <c r="I71" t="s">
        <v>39</v>
      </c>
      <c r="J71" t="s">
        <v>72</v>
      </c>
      <c r="K71" t="s">
        <v>24</v>
      </c>
      <c r="L71" t="s">
        <v>25</v>
      </c>
      <c r="M71" t="s">
        <v>26</v>
      </c>
      <c r="N71">
        <v>2</v>
      </c>
      <c r="O71">
        <v>1252</v>
      </c>
      <c r="P71">
        <v>2295</v>
      </c>
      <c r="Q71">
        <v>2086</v>
      </c>
      <c r="R71">
        <v>2504</v>
      </c>
      <c r="S71">
        <v>4590</v>
      </c>
    </row>
    <row r="72" spans="1:19" x14ac:dyDescent="0.35">
      <c r="A72">
        <v>261765</v>
      </c>
      <c r="B72" t="s">
        <v>67</v>
      </c>
      <c r="C72">
        <v>19</v>
      </c>
      <c r="D72" t="s">
        <v>19</v>
      </c>
      <c r="E72">
        <v>2021</v>
      </c>
      <c r="F72">
        <v>39</v>
      </c>
      <c r="G72" t="s">
        <v>20</v>
      </c>
      <c r="H72" t="s">
        <v>21</v>
      </c>
      <c r="I72" t="s">
        <v>22</v>
      </c>
      <c r="J72" t="s">
        <v>38</v>
      </c>
      <c r="K72" t="s">
        <v>24</v>
      </c>
      <c r="L72" t="s">
        <v>25</v>
      </c>
      <c r="M72" t="s">
        <v>42</v>
      </c>
      <c r="N72">
        <v>1</v>
      </c>
      <c r="O72">
        <v>1266</v>
      </c>
      <c r="P72">
        <v>2320</v>
      </c>
      <c r="Q72">
        <v>1054</v>
      </c>
      <c r="R72">
        <v>1266</v>
      </c>
      <c r="S72">
        <v>2320</v>
      </c>
    </row>
    <row r="73" spans="1:19" x14ac:dyDescent="0.35">
      <c r="A73">
        <v>261766</v>
      </c>
      <c r="B73" t="s">
        <v>73</v>
      </c>
      <c r="C73">
        <v>20</v>
      </c>
      <c r="D73" t="s">
        <v>19</v>
      </c>
      <c r="E73">
        <v>2021</v>
      </c>
      <c r="F73">
        <v>33</v>
      </c>
      <c r="G73" t="s">
        <v>32</v>
      </c>
      <c r="H73" t="s">
        <v>21</v>
      </c>
      <c r="I73" t="s">
        <v>33</v>
      </c>
      <c r="J73" t="s">
        <v>50</v>
      </c>
      <c r="K73" t="s">
        <v>24</v>
      </c>
      <c r="L73" t="s">
        <v>25</v>
      </c>
      <c r="M73" t="s">
        <v>51</v>
      </c>
      <c r="N73">
        <v>4</v>
      </c>
      <c r="O73">
        <v>1898</v>
      </c>
      <c r="P73">
        <v>3375</v>
      </c>
      <c r="Q73">
        <v>5908</v>
      </c>
      <c r="R73">
        <v>7592</v>
      </c>
      <c r="S73">
        <v>13500</v>
      </c>
    </row>
    <row r="74" spans="1:19" x14ac:dyDescent="0.35">
      <c r="A74">
        <v>261767</v>
      </c>
      <c r="B74" t="s">
        <v>73</v>
      </c>
      <c r="C74">
        <v>20</v>
      </c>
      <c r="D74" t="s">
        <v>19</v>
      </c>
      <c r="E74">
        <v>2021</v>
      </c>
      <c r="F74">
        <v>57</v>
      </c>
      <c r="G74" t="s">
        <v>20</v>
      </c>
      <c r="H74" t="s">
        <v>27</v>
      </c>
      <c r="I74" t="s">
        <v>33</v>
      </c>
      <c r="J74" t="s">
        <v>41</v>
      </c>
      <c r="K74" t="s">
        <v>24</v>
      </c>
      <c r="L74" t="s">
        <v>25</v>
      </c>
      <c r="M74" t="s">
        <v>26</v>
      </c>
      <c r="N74">
        <v>4</v>
      </c>
      <c r="O74">
        <v>1252</v>
      </c>
      <c r="P74">
        <v>2295</v>
      </c>
      <c r="Q74">
        <v>4172</v>
      </c>
      <c r="R74">
        <v>5008</v>
      </c>
      <c r="S74">
        <v>9180</v>
      </c>
    </row>
    <row r="75" spans="1:19" x14ac:dyDescent="0.35">
      <c r="A75">
        <v>261768</v>
      </c>
      <c r="B75" t="s">
        <v>73</v>
      </c>
      <c r="C75">
        <v>20</v>
      </c>
      <c r="D75" t="s">
        <v>19</v>
      </c>
      <c r="E75">
        <v>2021</v>
      </c>
      <c r="F75">
        <v>29</v>
      </c>
      <c r="G75" t="s">
        <v>32</v>
      </c>
      <c r="H75" t="s">
        <v>27</v>
      </c>
      <c r="I75" t="s">
        <v>43</v>
      </c>
      <c r="J75" t="s">
        <v>44</v>
      </c>
      <c r="K75" t="s">
        <v>24</v>
      </c>
      <c r="L75" t="s">
        <v>25</v>
      </c>
      <c r="M75" t="s">
        <v>74</v>
      </c>
      <c r="N75">
        <v>3</v>
      </c>
      <c r="O75">
        <v>295</v>
      </c>
      <c r="P75">
        <v>540</v>
      </c>
      <c r="Q75">
        <v>735</v>
      </c>
      <c r="R75">
        <v>885</v>
      </c>
      <c r="S75">
        <v>1620</v>
      </c>
    </row>
    <row r="76" spans="1:19" x14ac:dyDescent="0.35">
      <c r="A76">
        <v>261769</v>
      </c>
      <c r="B76" t="s">
        <v>73</v>
      </c>
      <c r="C76">
        <v>20</v>
      </c>
      <c r="D76" t="s">
        <v>19</v>
      </c>
      <c r="E76">
        <v>2021</v>
      </c>
      <c r="F76">
        <v>35</v>
      </c>
      <c r="G76" t="s">
        <v>20</v>
      </c>
      <c r="H76" t="s">
        <v>21</v>
      </c>
      <c r="I76" t="s">
        <v>33</v>
      </c>
      <c r="J76" t="s">
        <v>41</v>
      </c>
      <c r="K76" t="s">
        <v>24</v>
      </c>
      <c r="L76" t="s">
        <v>25</v>
      </c>
      <c r="M76" t="s">
        <v>42</v>
      </c>
      <c r="N76">
        <v>1</v>
      </c>
      <c r="O76">
        <v>1266</v>
      </c>
      <c r="P76">
        <v>2320</v>
      </c>
      <c r="Q76">
        <v>1054</v>
      </c>
      <c r="R76">
        <v>1266</v>
      </c>
      <c r="S76">
        <v>2320</v>
      </c>
    </row>
    <row r="77" spans="1:19" x14ac:dyDescent="0.35">
      <c r="A77">
        <v>261770</v>
      </c>
      <c r="B77" t="s">
        <v>73</v>
      </c>
      <c r="C77">
        <v>20</v>
      </c>
      <c r="D77" t="s">
        <v>19</v>
      </c>
      <c r="E77">
        <v>2021</v>
      </c>
      <c r="F77">
        <v>35</v>
      </c>
      <c r="G77" t="s">
        <v>20</v>
      </c>
      <c r="H77" t="s">
        <v>27</v>
      </c>
      <c r="I77" t="s">
        <v>33</v>
      </c>
      <c r="J77" t="s">
        <v>50</v>
      </c>
      <c r="K77" t="s">
        <v>24</v>
      </c>
      <c r="L77" t="s">
        <v>25</v>
      </c>
      <c r="M77" t="s">
        <v>42</v>
      </c>
      <c r="N77">
        <v>1</v>
      </c>
      <c r="O77">
        <v>1266</v>
      </c>
      <c r="P77">
        <v>2320</v>
      </c>
      <c r="Q77">
        <v>1054</v>
      </c>
      <c r="R77">
        <v>1266</v>
      </c>
      <c r="S77">
        <v>2320</v>
      </c>
    </row>
    <row r="78" spans="1:19" x14ac:dyDescent="0.35">
      <c r="A78">
        <v>261771</v>
      </c>
      <c r="B78" t="s">
        <v>75</v>
      </c>
      <c r="C78">
        <v>21</v>
      </c>
      <c r="D78" t="s">
        <v>19</v>
      </c>
      <c r="E78">
        <v>2021</v>
      </c>
      <c r="F78">
        <v>26</v>
      </c>
      <c r="G78" t="s">
        <v>32</v>
      </c>
      <c r="H78" t="s">
        <v>27</v>
      </c>
      <c r="I78" t="s">
        <v>55</v>
      </c>
      <c r="J78" t="s">
        <v>76</v>
      </c>
      <c r="K78" t="s">
        <v>24</v>
      </c>
      <c r="L78" t="s">
        <v>25</v>
      </c>
      <c r="M78" t="s">
        <v>42</v>
      </c>
      <c r="N78">
        <v>3</v>
      </c>
      <c r="O78">
        <v>1266</v>
      </c>
      <c r="P78">
        <v>2320</v>
      </c>
      <c r="Q78">
        <v>3162</v>
      </c>
      <c r="R78">
        <v>3798</v>
      </c>
      <c r="S78">
        <v>6960</v>
      </c>
    </row>
    <row r="79" spans="1:19" x14ac:dyDescent="0.35">
      <c r="A79">
        <v>261772</v>
      </c>
      <c r="B79" t="s">
        <v>75</v>
      </c>
      <c r="C79">
        <v>21</v>
      </c>
      <c r="D79" t="s">
        <v>19</v>
      </c>
      <c r="E79">
        <v>2021</v>
      </c>
      <c r="F79">
        <v>23</v>
      </c>
      <c r="G79" t="s">
        <v>36</v>
      </c>
      <c r="H79" t="s">
        <v>27</v>
      </c>
      <c r="I79" t="s">
        <v>28</v>
      </c>
      <c r="J79" t="s">
        <v>29</v>
      </c>
      <c r="K79" t="s">
        <v>24</v>
      </c>
      <c r="L79" t="s">
        <v>25</v>
      </c>
      <c r="M79" t="s">
        <v>31</v>
      </c>
      <c r="N79">
        <v>2</v>
      </c>
      <c r="O79">
        <v>420</v>
      </c>
      <c r="P79">
        <v>769</v>
      </c>
      <c r="Q79">
        <v>698</v>
      </c>
      <c r="R79">
        <v>840</v>
      </c>
      <c r="S79">
        <v>1538</v>
      </c>
    </row>
    <row r="80" spans="1:19" x14ac:dyDescent="0.35">
      <c r="A80">
        <v>261773</v>
      </c>
      <c r="B80" t="s">
        <v>77</v>
      </c>
      <c r="C80">
        <v>22</v>
      </c>
      <c r="D80" t="s">
        <v>19</v>
      </c>
      <c r="E80">
        <v>2021</v>
      </c>
      <c r="F80">
        <v>30</v>
      </c>
      <c r="G80" t="s">
        <v>32</v>
      </c>
      <c r="H80" t="s">
        <v>21</v>
      </c>
      <c r="I80" t="s">
        <v>22</v>
      </c>
      <c r="J80" t="s">
        <v>38</v>
      </c>
      <c r="K80" t="s">
        <v>24</v>
      </c>
      <c r="L80" t="s">
        <v>25</v>
      </c>
      <c r="M80" t="s">
        <v>42</v>
      </c>
      <c r="N80">
        <v>3</v>
      </c>
      <c r="O80">
        <v>1266</v>
      </c>
      <c r="P80">
        <v>2320</v>
      </c>
      <c r="Q80">
        <v>3162</v>
      </c>
      <c r="R80">
        <v>3798</v>
      </c>
      <c r="S80">
        <v>6960</v>
      </c>
    </row>
    <row r="81" spans="1:19" x14ac:dyDescent="0.35">
      <c r="A81">
        <v>261774</v>
      </c>
      <c r="B81" t="s">
        <v>77</v>
      </c>
      <c r="C81">
        <v>22</v>
      </c>
      <c r="D81" t="s">
        <v>19</v>
      </c>
      <c r="E81">
        <v>2021</v>
      </c>
      <c r="F81">
        <v>41</v>
      </c>
      <c r="G81" t="s">
        <v>20</v>
      </c>
      <c r="H81" t="s">
        <v>27</v>
      </c>
      <c r="I81" t="s">
        <v>22</v>
      </c>
      <c r="J81" t="s">
        <v>23</v>
      </c>
      <c r="K81" t="s">
        <v>24</v>
      </c>
      <c r="L81" t="s">
        <v>25</v>
      </c>
      <c r="M81" t="s">
        <v>45</v>
      </c>
      <c r="N81">
        <v>3</v>
      </c>
      <c r="O81">
        <v>1252</v>
      </c>
      <c r="P81">
        <v>2295</v>
      </c>
      <c r="Q81">
        <v>3129</v>
      </c>
      <c r="R81">
        <v>3756</v>
      </c>
      <c r="S81">
        <v>6885</v>
      </c>
    </row>
    <row r="82" spans="1:19" x14ac:dyDescent="0.35">
      <c r="A82">
        <v>261775</v>
      </c>
      <c r="B82" t="s">
        <v>77</v>
      </c>
      <c r="C82">
        <v>22</v>
      </c>
      <c r="D82" t="s">
        <v>19</v>
      </c>
      <c r="E82">
        <v>2021</v>
      </c>
      <c r="F82">
        <v>19</v>
      </c>
      <c r="G82" t="s">
        <v>36</v>
      </c>
      <c r="H82" t="s">
        <v>21</v>
      </c>
      <c r="I82" t="s">
        <v>33</v>
      </c>
      <c r="J82" t="s">
        <v>34</v>
      </c>
      <c r="K82" t="s">
        <v>24</v>
      </c>
      <c r="L82" t="s">
        <v>25</v>
      </c>
      <c r="M82" t="s">
        <v>47</v>
      </c>
      <c r="N82">
        <v>1</v>
      </c>
      <c r="O82">
        <v>308</v>
      </c>
      <c r="P82">
        <v>565</v>
      </c>
      <c r="Q82">
        <v>257</v>
      </c>
      <c r="R82">
        <v>308</v>
      </c>
      <c r="S82">
        <v>565</v>
      </c>
    </row>
    <row r="83" spans="1:19" x14ac:dyDescent="0.35">
      <c r="A83">
        <v>261776</v>
      </c>
      <c r="B83" t="s">
        <v>77</v>
      </c>
      <c r="C83">
        <v>22</v>
      </c>
      <c r="D83" t="s">
        <v>19</v>
      </c>
      <c r="E83">
        <v>2021</v>
      </c>
      <c r="F83">
        <v>25</v>
      </c>
      <c r="G83" t="s">
        <v>32</v>
      </c>
      <c r="H83" t="s">
        <v>27</v>
      </c>
      <c r="I83" t="s">
        <v>55</v>
      </c>
      <c r="J83" t="s">
        <v>56</v>
      </c>
      <c r="K83" t="s">
        <v>24</v>
      </c>
      <c r="L83" t="s">
        <v>25</v>
      </c>
      <c r="M83" t="s">
        <v>37</v>
      </c>
      <c r="N83">
        <v>1</v>
      </c>
      <c r="O83">
        <v>1252</v>
      </c>
      <c r="P83">
        <v>2295</v>
      </c>
      <c r="Q83">
        <v>1043</v>
      </c>
      <c r="R83">
        <v>1252</v>
      </c>
      <c r="S83">
        <v>2295</v>
      </c>
    </row>
    <row r="84" spans="1:19" x14ac:dyDescent="0.35">
      <c r="A84">
        <v>261777</v>
      </c>
      <c r="B84" t="s">
        <v>77</v>
      </c>
      <c r="C84">
        <v>22</v>
      </c>
      <c r="D84" t="s">
        <v>19</v>
      </c>
      <c r="E84">
        <v>2021</v>
      </c>
      <c r="F84">
        <v>27</v>
      </c>
      <c r="G84" t="s">
        <v>32</v>
      </c>
      <c r="H84" t="s">
        <v>21</v>
      </c>
      <c r="I84" t="s">
        <v>43</v>
      </c>
      <c r="J84" t="s">
        <v>44</v>
      </c>
      <c r="K84" t="s">
        <v>24</v>
      </c>
      <c r="L84" t="s">
        <v>25</v>
      </c>
      <c r="M84" t="s">
        <v>26</v>
      </c>
      <c r="N84">
        <v>1</v>
      </c>
      <c r="O84">
        <v>1252</v>
      </c>
      <c r="P84">
        <v>2295</v>
      </c>
      <c r="Q84">
        <v>1043</v>
      </c>
      <c r="R84">
        <v>1252</v>
      </c>
      <c r="S84">
        <v>2295</v>
      </c>
    </row>
    <row r="85" spans="1:19" x14ac:dyDescent="0.35">
      <c r="A85">
        <v>261778</v>
      </c>
      <c r="B85" t="s">
        <v>77</v>
      </c>
      <c r="C85">
        <v>22</v>
      </c>
      <c r="D85" t="s">
        <v>19</v>
      </c>
      <c r="E85">
        <v>2021</v>
      </c>
      <c r="F85">
        <v>41</v>
      </c>
      <c r="G85" t="s">
        <v>20</v>
      </c>
      <c r="H85" t="s">
        <v>27</v>
      </c>
      <c r="I85" t="s">
        <v>39</v>
      </c>
      <c r="J85" t="s">
        <v>72</v>
      </c>
      <c r="K85" t="s">
        <v>24</v>
      </c>
      <c r="L85" t="s">
        <v>25</v>
      </c>
      <c r="M85" t="s">
        <v>42</v>
      </c>
      <c r="N85">
        <v>1</v>
      </c>
      <c r="O85">
        <v>1266</v>
      </c>
      <c r="P85">
        <v>2320</v>
      </c>
      <c r="Q85">
        <v>1054</v>
      </c>
      <c r="R85">
        <v>1266</v>
      </c>
      <c r="S85">
        <v>2320</v>
      </c>
    </row>
    <row r="86" spans="1:19" x14ac:dyDescent="0.35">
      <c r="A86">
        <v>261779</v>
      </c>
      <c r="B86" t="s">
        <v>78</v>
      </c>
      <c r="C86">
        <v>23</v>
      </c>
      <c r="D86" t="s">
        <v>19</v>
      </c>
      <c r="E86">
        <v>2021</v>
      </c>
      <c r="F86">
        <v>30</v>
      </c>
      <c r="G86" t="s">
        <v>32</v>
      </c>
      <c r="H86" t="s">
        <v>21</v>
      </c>
      <c r="I86" t="s">
        <v>22</v>
      </c>
      <c r="J86" t="s">
        <v>48</v>
      </c>
      <c r="K86" t="s">
        <v>24</v>
      </c>
      <c r="L86" t="s">
        <v>25</v>
      </c>
      <c r="M86" t="s">
        <v>30</v>
      </c>
      <c r="N86">
        <v>1</v>
      </c>
      <c r="O86">
        <v>1266</v>
      </c>
      <c r="P86">
        <v>2320</v>
      </c>
      <c r="Q86">
        <v>1054</v>
      </c>
      <c r="R86">
        <v>1266</v>
      </c>
      <c r="S86">
        <v>2320</v>
      </c>
    </row>
    <row r="87" spans="1:19" x14ac:dyDescent="0.35">
      <c r="A87">
        <v>261780</v>
      </c>
      <c r="B87" t="s">
        <v>78</v>
      </c>
      <c r="C87">
        <v>23</v>
      </c>
      <c r="D87" t="s">
        <v>19</v>
      </c>
      <c r="E87">
        <v>2021</v>
      </c>
      <c r="F87">
        <v>31</v>
      </c>
      <c r="G87" t="s">
        <v>32</v>
      </c>
      <c r="H87" t="s">
        <v>21</v>
      </c>
      <c r="I87" t="s">
        <v>43</v>
      </c>
      <c r="J87" t="s">
        <v>44</v>
      </c>
      <c r="K87" t="s">
        <v>24</v>
      </c>
      <c r="L87" t="s">
        <v>25</v>
      </c>
      <c r="M87" t="s">
        <v>45</v>
      </c>
      <c r="N87">
        <v>1</v>
      </c>
      <c r="O87">
        <v>1252</v>
      </c>
      <c r="P87">
        <v>2295</v>
      </c>
      <c r="Q87">
        <v>1043</v>
      </c>
      <c r="R87">
        <v>1252</v>
      </c>
      <c r="S87">
        <v>2295</v>
      </c>
    </row>
    <row r="88" spans="1:19" x14ac:dyDescent="0.35">
      <c r="A88">
        <v>261781</v>
      </c>
      <c r="B88" t="s">
        <v>78</v>
      </c>
      <c r="C88">
        <v>23</v>
      </c>
      <c r="D88" t="s">
        <v>19</v>
      </c>
      <c r="E88">
        <v>2021</v>
      </c>
      <c r="F88">
        <v>35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49</v>
      </c>
      <c r="N88">
        <v>1</v>
      </c>
      <c r="O88">
        <v>295</v>
      </c>
      <c r="P88">
        <v>540</v>
      </c>
      <c r="Q88">
        <v>245</v>
      </c>
      <c r="R88">
        <v>295</v>
      </c>
      <c r="S88">
        <v>540</v>
      </c>
    </row>
    <row r="89" spans="1:19" x14ac:dyDescent="0.35">
      <c r="A89">
        <v>261782</v>
      </c>
      <c r="B89" t="s">
        <v>79</v>
      </c>
      <c r="C89">
        <v>24</v>
      </c>
      <c r="D89" t="s">
        <v>19</v>
      </c>
      <c r="E89">
        <v>2021</v>
      </c>
      <c r="F89">
        <v>38</v>
      </c>
      <c r="G89" t="s">
        <v>20</v>
      </c>
      <c r="H89" t="s">
        <v>27</v>
      </c>
      <c r="I89" t="s">
        <v>33</v>
      </c>
      <c r="J89" t="s">
        <v>41</v>
      </c>
      <c r="K89" t="s">
        <v>24</v>
      </c>
      <c r="L89" t="s">
        <v>25</v>
      </c>
      <c r="M89" t="s">
        <v>45</v>
      </c>
      <c r="N89">
        <v>4</v>
      </c>
      <c r="O89">
        <v>1252</v>
      </c>
      <c r="P89">
        <v>2295</v>
      </c>
      <c r="Q89">
        <v>4172</v>
      </c>
      <c r="R89">
        <v>5008</v>
      </c>
      <c r="S89">
        <v>9180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849F-42D7-4A60-82BE-5AB8D98BC38A}">
  <dimension ref="A1:Y89"/>
  <sheetViews>
    <sheetView tabSelected="1" topLeftCell="T19" workbookViewId="0">
      <selection activeCell="Y35" sqref="Y35"/>
    </sheetView>
  </sheetViews>
  <sheetFormatPr defaultRowHeight="14.5" x14ac:dyDescent="0.35"/>
  <cols>
    <col min="1" max="1" width="12.36328125" bestFit="1" customWidth="1"/>
    <col min="2" max="2" width="10.453125" bestFit="1" customWidth="1"/>
    <col min="3" max="3" width="4" bestFit="1" customWidth="1"/>
    <col min="4" max="4" width="9.36328125" bestFit="1" customWidth="1"/>
    <col min="5" max="5" width="4.81640625" bestFit="1" customWidth="1"/>
    <col min="6" max="6" width="13.08984375" bestFit="1" customWidth="1"/>
    <col min="7" max="7" width="18.26953125" bestFit="1" customWidth="1"/>
    <col min="8" max="8" width="16.1796875" bestFit="1" customWidth="1"/>
    <col min="9" max="9" width="14.1796875" bestFit="1" customWidth="1"/>
    <col min="10" max="10" width="18.6328125" bestFit="1" customWidth="1"/>
    <col min="11" max="11" width="15.7265625" bestFit="1" customWidth="1"/>
    <col min="12" max="12" width="13.81640625" bestFit="1" customWidth="1"/>
    <col min="13" max="13" width="23.1796875" bestFit="1" customWidth="1"/>
    <col min="14" max="14" width="14" bestFit="1" customWidth="1"/>
    <col min="15" max="15" width="14" customWidth="1"/>
    <col min="16" max="16" width="9.81640625" bestFit="1" customWidth="1"/>
    <col min="17" max="17" width="10.1796875" bestFit="1" customWidth="1"/>
    <col min="18" max="19" width="9.453125" bestFit="1" customWidth="1"/>
    <col min="20" max="20" width="10.453125" bestFit="1" customWidth="1"/>
    <col min="22" max="22" width="48.08984375" bestFit="1" customWidth="1"/>
    <col min="24" max="24" width="41" bestFit="1" customWidth="1"/>
    <col min="25" max="25" width="14.1796875" customWidth="1"/>
  </cols>
  <sheetData>
    <row r="1" spans="1:2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/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V1" s="3" t="s">
        <v>80</v>
      </c>
    </row>
    <row r="2" spans="1:25" x14ac:dyDescent="0.35">
      <c r="A2">
        <v>261695</v>
      </c>
      <c r="B2" s="1">
        <v>44208</v>
      </c>
      <c r="C2">
        <v>1</v>
      </c>
      <c r="D2" t="s">
        <v>19</v>
      </c>
      <c r="E2">
        <v>2021</v>
      </c>
      <c r="F2">
        <v>39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>
        <v>4</v>
      </c>
      <c r="O2">
        <f>COUNT(N2:N89)</f>
        <v>88</v>
      </c>
      <c r="P2" s="2">
        <v>1252</v>
      </c>
      <c r="Q2" s="2">
        <v>2295</v>
      </c>
      <c r="R2" s="2">
        <v>4172</v>
      </c>
      <c r="S2" s="2">
        <v>5008</v>
      </c>
      <c r="T2" s="2">
        <v>9180</v>
      </c>
      <c r="V2" t="str">
        <f>_xlfn.CONCAT(B2, ": ",P2," ", M2,"-",TEXT(C2,"mm/dd/yyyy"))</f>
        <v>44208: 1252 Mountain-200 Black, 46-01/01/1900</v>
      </c>
    </row>
    <row r="3" spans="1:25" x14ac:dyDescent="0.35">
      <c r="A3">
        <v>261696</v>
      </c>
      <c r="B3" s="1">
        <v>44208</v>
      </c>
      <c r="C3">
        <v>1</v>
      </c>
      <c r="D3" t="s">
        <v>19</v>
      </c>
      <c r="E3">
        <v>2021</v>
      </c>
      <c r="F3">
        <v>44</v>
      </c>
      <c r="G3" t="s">
        <v>20</v>
      </c>
      <c r="H3" t="s">
        <v>27</v>
      </c>
      <c r="I3" t="s">
        <v>28</v>
      </c>
      <c r="J3" t="s">
        <v>29</v>
      </c>
      <c r="K3" t="s">
        <v>24</v>
      </c>
      <c r="L3" t="s">
        <v>25</v>
      </c>
      <c r="M3" t="s">
        <v>30</v>
      </c>
      <c r="N3">
        <v>1</v>
      </c>
      <c r="P3" s="2">
        <v>1266</v>
      </c>
      <c r="Q3" s="2">
        <v>2320</v>
      </c>
      <c r="R3" s="2">
        <v>1054</v>
      </c>
      <c r="S3" s="2">
        <v>1266</v>
      </c>
      <c r="T3" s="2">
        <v>2320</v>
      </c>
      <c r="V3" t="str">
        <f>_xlfn.CONCAT(B3, ": ",P3," ", M3,"-",TEXT(C3,"mm/dd/yyyy"))</f>
        <v>44208: 1266 Mountain-200 Silver, 42-01/01/1900</v>
      </c>
    </row>
    <row r="4" spans="1:25" x14ac:dyDescent="0.35">
      <c r="A4">
        <v>261697</v>
      </c>
      <c r="B4" s="1">
        <v>44239</v>
      </c>
      <c r="C4">
        <v>2</v>
      </c>
      <c r="D4" t="s">
        <v>19</v>
      </c>
      <c r="E4">
        <v>2021</v>
      </c>
      <c r="F4">
        <v>37</v>
      </c>
      <c r="G4" t="s">
        <v>20</v>
      </c>
      <c r="H4" t="s">
        <v>27</v>
      </c>
      <c r="I4" t="s">
        <v>22</v>
      </c>
      <c r="J4" t="s">
        <v>23</v>
      </c>
      <c r="K4" t="s">
        <v>24</v>
      </c>
      <c r="L4" t="s">
        <v>25</v>
      </c>
      <c r="M4" t="s">
        <v>31</v>
      </c>
      <c r="N4">
        <v>2</v>
      </c>
      <c r="P4" s="2">
        <v>420</v>
      </c>
      <c r="Q4" s="2">
        <v>769</v>
      </c>
      <c r="R4" s="2">
        <v>698</v>
      </c>
      <c r="S4" s="2">
        <v>840</v>
      </c>
      <c r="T4" s="2">
        <v>1538</v>
      </c>
      <c r="V4" t="str">
        <f>_xlfn.CONCAT(B4, ": ",P4," ", M4,"-",TEXT(C4,"mm/dd/yyyy"))</f>
        <v>44239: 420 Mountain-400-W Silver, 46-01/02/1900</v>
      </c>
      <c r="X4" s="4" t="s">
        <v>81</v>
      </c>
      <c r="Y4" s="4"/>
    </row>
    <row r="5" spans="1:25" x14ac:dyDescent="0.35">
      <c r="A5">
        <v>261698</v>
      </c>
      <c r="B5" s="1">
        <v>44239</v>
      </c>
      <c r="C5">
        <v>2</v>
      </c>
      <c r="D5" t="s">
        <v>19</v>
      </c>
      <c r="E5">
        <v>2021</v>
      </c>
      <c r="F5">
        <v>31</v>
      </c>
      <c r="G5" t="s">
        <v>32</v>
      </c>
      <c r="H5" t="s">
        <v>21</v>
      </c>
      <c r="I5" t="s">
        <v>33</v>
      </c>
      <c r="J5" t="s">
        <v>34</v>
      </c>
      <c r="K5" t="s">
        <v>24</v>
      </c>
      <c r="L5" t="s">
        <v>25</v>
      </c>
      <c r="M5" t="s">
        <v>35</v>
      </c>
      <c r="N5">
        <v>1</v>
      </c>
      <c r="P5" s="2">
        <v>420</v>
      </c>
      <c r="Q5" s="2">
        <v>769</v>
      </c>
      <c r="R5" s="2">
        <v>349</v>
      </c>
      <c r="S5" s="2">
        <v>420</v>
      </c>
      <c r="T5" s="2">
        <v>769</v>
      </c>
      <c r="V5" t="str">
        <f>_xlfn.CONCAT(B5, ": ",P5," ", M5,"-",TEXT(C5,"mm/dd/yyyy"))</f>
        <v>44239: 420 Mountain-400-W Silver, 42-01/02/1900</v>
      </c>
      <c r="X5" t="s">
        <v>82</v>
      </c>
      <c r="Y5">
        <f>COUNTA(A2:A89)</f>
        <v>88</v>
      </c>
    </row>
    <row r="6" spans="1:25" x14ac:dyDescent="0.35">
      <c r="A6">
        <v>261699</v>
      </c>
      <c r="B6" s="1">
        <v>44267</v>
      </c>
      <c r="C6">
        <v>3</v>
      </c>
      <c r="D6" t="s">
        <v>19</v>
      </c>
      <c r="E6">
        <v>2021</v>
      </c>
      <c r="F6">
        <v>37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>
        <v>2</v>
      </c>
      <c r="P6" s="2">
        <v>1252</v>
      </c>
      <c r="Q6" s="2">
        <v>2295</v>
      </c>
      <c r="R6" s="2">
        <v>2086</v>
      </c>
      <c r="S6" s="2">
        <v>2504</v>
      </c>
      <c r="T6" s="2">
        <v>4590</v>
      </c>
      <c r="V6" t="str">
        <f>_xlfn.CONCAT(B6, ": ",P6," ", M6,"-",TEXT(C6,"mm/dd/yyyy"))</f>
        <v>44267: 1252 Mountain-200 Black, 46-01/03/1900</v>
      </c>
      <c r="X6" t="s">
        <v>88</v>
      </c>
      <c r="Y6">
        <f>COUNTBLANK(A2:A89)</f>
        <v>0</v>
      </c>
    </row>
    <row r="7" spans="1:25" x14ac:dyDescent="0.35">
      <c r="A7">
        <v>261700</v>
      </c>
      <c r="B7" s="1">
        <v>44267</v>
      </c>
      <c r="C7">
        <v>3</v>
      </c>
      <c r="D7" t="s">
        <v>19</v>
      </c>
      <c r="E7">
        <v>2021</v>
      </c>
      <c r="F7">
        <v>24</v>
      </c>
      <c r="G7" t="s">
        <v>36</v>
      </c>
      <c r="H7" t="s">
        <v>21</v>
      </c>
      <c r="I7" t="s">
        <v>28</v>
      </c>
      <c r="J7" t="s">
        <v>29</v>
      </c>
      <c r="K7" t="s">
        <v>24</v>
      </c>
      <c r="L7" t="s">
        <v>25</v>
      </c>
      <c r="M7" t="s">
        <v>37</v>
      </c>
      <c r="N7">
        <v>1</v>
      </c>
      <c r="P7" s="2">
        <v>1252</v>
      </c>
      <c r="Q7" s="2">
        <v>2295</v>
      </c>
      <c r="R7" s="2">
        <v>1043</v>
      </c>
      <c r="S7" s="2">
        <v>1252</v>
      </c>
      <c r="T7" s="2">
        <v>2295</v>
      </c>
      <c r="V7" t="str">
        <f>_xlfn.CONCAT(B7, ": ",P7," ", M7,"-",TEXT(C7,"mm/dd/yyyy"))</f>
        <v>44267: 1252 Mountain-200 Black, 38-01/03/1900</v>
      </c>
      <c r="X7" t="s">
        <v>83</v>
      </c>
      <c r="Y7">
        <f>COUNTIF(G2:G89,G2)</f>
        <v>47</v>
      </c>
    </row>
    <row r="8" spans="1:25" x14ac:dyDescent="0.35">
      <c r="A8">
        <v>261701</v>
      </c>
      <c r="B8" s="1">
        <v>44267</v>
      </c>
      <c r="C8">
        <v>3</v>
      </c>
      <c r="D8" t="s">
        <v>19</v>
      </c>
      <c r="E8">
        <v>2021</v>
      </c>
      <c r="F8">
        <v>37</v>
      </c>
      <c r="G8" t="s">
        <v>20</v>
      </c>
      <c r="H8" t="s">
        <v>27</v>
      </c>
      <c r="I8" t="s">
        <v>22</v>
      </c>
      <c r="J8" t="s">
        <v>38</v>
      </c>
      <c r="K8" t="s">
        <v>24</v>
      </c>
      <c r="L8" t="s">
        <v>25</v>
      </c>
      <c r="M8" t="s">
        <v>26</v>
      </c>
      <c r="N8">
        <v>1</v>
      </c>
      <c r="P8" s="2">
        <v>1252</v>
      </c>
      <c r="Q8" s="2">
        <v>2295</v>
      </c>
      <c r="R8" s="2">
        <v>1043</v>
      </c>
      <c r="S8" s="2">
        <v>1252</v>
      </c>
      <c r="T8" s="2">
        <v>2295</v>
      </c>
      <c r="V8" t="str">
        <f>_xlfn.CONCAT(B8, ": ",P8," ", M8,"-",TEXT(C8,"mm/dd/yyyy"))</f>
        <v>44267: 1252 Mountain-200 Black, 46-01/03/1900</v>
      </c>
      <c r="X8" t="s">
        <v>89</v>
      </c>
      <c r="Y8" s="5">
        <f>AVERAGEIF(G2:G89,G7,R2:R89)</f>
        <v>1605</v>
      </c>
    </row>
    <row r="9" spans="1:25" x14ac:dyDescent="0.35">
      <c r="A9">
        <v>261702</v>
      </c>
      <c r="B9" s="1">
        <v>44298</v>
      </c>
      <c r="C9">
        <v>4</v>
      </c>
      <c r="D9" t="s">
        <v>19</v>
      </c>
      <c r="E9">
        <v>2021</v>
      </c>
      <c r="F9">
        <v>31</v>
      </c>
      <c r="G9" t="s">
        <v>32</v>
      </c>
      <c r="H9" t="s">
        <v>21</v>
      </c>
      <c r="I9" t="s">
        <v>33</v>
      </c>
      <c r="J9" t="s">
        <v>34</v>
      </c>
      <c r="K9" t="s">
        <v>24</v>
      </c>
      <c r="L9" t="s">
        <v>25</v>
      </c>
      <c r="M9" t="s">
        <v>35</v>
      </c>
      <c r="N9">
        <v>4</v>
      </c>
      <c r="P9" s="2">
        <v>420</v>
      </c>
      <c r="Q9" s="2">
        <v>769</v>
      </c>
      <c r="R9" s="2">
        <v>1396</v>
      </c>
      <c r="S9" s="2">
        <v>1680</v>
      </c>
      <c r="T9" s="2">
        <v>3076</v>
      </c>
      <c r="V9" t="str">
        <f>_xlfn.CONCAT(B9, ": ",P9," ", M9,"-",TEXT(C9,"mm/dd/yyyy"))</f>
        <v>44298: 420 Mountain-400-W Silver, 42-01/04/1900</v>
      </c>
    </row>
    <row r="10" spans="1:25" x14ac:dyDescent="0.35">
      <c r="A10">
        <v>261703</v>
      </c>
      <c r="B10" s="1">
        <v>44328</v>
      </c>
      <c r="C10">
        <v>5</v>
      </c>
      <c r="D10" t="s">
        <v>19</v>
      </c>
      <c r="E10">
        <v>2021</v>
      </c>
      <c r="F10">
        <v>39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  <c r="N10">
        <v>4</v>
      </c>
      <c r="P10" s="2">
        <v>1252</v>
      </c>
      <c r="Q10" s="2">
        <v>2295</v>
      </c>
      <c r="R10" s="2">
        <v>4172</v>
      </c>
      <c r="S10" s="2">
        <v>5008</v>
      </c>
      <c r="T10" s="2">
        <v>9180</v>
      </c>
      <c r="V10" t="str">
        <f>_xlfn.CONCAT(B10, ": ",P10," ", M10,"-",TEXT(C10,"mm/dd/yyyy"))</f>
        <v>44328: 1252 Mountain-200 Black, 46-01/05/1900</v>
      </c>
    </row>
    <row r="11" spans="1:25" x14ac:dyDescent="0.35">
      <c r="A11">
        <v>261704</v>
      </c>
      <c r="B11" s="1">
        <v>44328</v>
      </c>
      <c r="C11">
        <v>5</v>
      </c>
      <c r="D11" t="s">
        <v>19</v>
      </c>
      <c r="E11">
        <v>2021</v>
      </c>
      <c r="F11">
        <v>42</v>
      </c>
      <c r="G11" t="s">
        <v>20</v>
      </c>
      <c r="H11" t="s">
        <v>27</v>
      </c>
      <c r="I11" t="s">
        <v>39</v>
      </c>
      <c r="J11" t="s">
        <v>40</v>
      </c>
      <c r="K11" t="s">
        <v>24</v>
      </c>
      <c r="L11" t="s">
        <v>25</v>
      </c>
      <c r="M11" t="s">
        <v>37</v>
      </c>
      <c r="N11">
        <v>4</v>
      </c>
      <c r="P11" s="2">
        <v>1252</v>
      </c>
      <c r="Q11" s="2">
        <v>2295</v>
      </c>
      <c r="R11" s="2">
        <v>4172</v>
      </c>
      <c r="S11" s="2">
        <v>5008</v>
      </c>
      <c r="T11" s="2">
        <v>9180</v>
      </c>
      <c r="V11" t="str">
        <f>_xlfn.CONCAT(B11, ": ",P11," ", M11,"-",TEXT(C11,"mm/dd/yyyy"))</f>
        <v>44328: 1252 Mountain-200 Black, 38-01/05/1900</v>
      </c>
      <c r="X11" s="4" t="s">
        <v>84</v>
      </c>
      <c r="Y11" s="4"/>
    </row>
    <row r="12" spans="1:25" x14ac:dyDescent="0.35">
      <c r="A12">
        <v>261705</v>
      </c>
      <c r="B12" s="1">
        <v>44328</v>
      </c>
      <c r="C12">
        <v>5</v>
      </c>
      <c r="D12" t="s">
        <v>19</v>
      </c>
      <c r="E12">
        <v>2021</v>
      </c>
      <c r="F12">
        <v>35</v>
      </c>
      <c r="G12" t="s">
        <v>20</v>
      </c>
      <c r="H12" t="s">
        <v>21</v>
      </c>
      <c r="I12" t="s">
        <v>33</v>
      </c>
      <c r="J12" t="s">
        <v>41</v>
      </c>
      <c r="K12" t="s">
        <v>24</v>
      </c>
      <c r="L12" t="s">
        <v>25</v>
      </c>
      <c r="M12" t="s">
        <v>42</v>
      </c>
      <c r="N12">
        <v>1</v>
      </c>
      <c r="P12" s="2">
        <v>1266</v>
      </c>
      <c r="Q12" s="2">
        <v>2320</v>
      </c>
      <c r="R12" s="2">
        <v>1054</v>
      </c>
      <c r="S12" s="2">
        <v>1266</v>
      </c>
      <c r="T12" s="2">
        <v>2320</v>
      </c>
      <c r="V12" t="str">
        <f>_xlfn.CONCAT(B12, ": ",P12," ", M12,"-",TEXT(C12,"mm/dd/yyyy"))</f>
        <v>44328: 1266 Mountain-200 Silver, 38-01/05/1900</v>
      </c>
      <c r="X12" t="str" cm="1">
        <f t="array" ref="X12:X14">_xlfn.UNIQUE(G2:G89)</f>
        <v>Adults (35-64)</v>
      </c>
      <c r="Y12" s="5">
        <f>AVERAGEIF($G$2:$G$89,X12,$T$2:$T$89)</f>
        <v>4388.4255319148933</v>
      </c>
    </row>
    <row r="13" spans="1:25" x14ac:dyDescent="0.35">
      <c r="A13">
        <v>261706</v>
      </c>
      <c r="B13" s="1">
        <v>44328</v>
      </c>
      <c r="C13">
        <v>5</v>
      </c>
      <c r="D13" t="s">
        <v>19</v>
      </c>
      <c r="E13">
        <v>2021</v>
      </c>
      <c r="F13">
        <v>37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26</v>
      </c>
      <c r="N13">
        <v>1</v>
      </c>
      <c r="P13" s="2">
        <v>1252</v>
      </c>
      <c r="Q13" s="2">
        <v>2295</v>
      </c>
      <c r="R13" s="2">
        <v>1043</v>
      </c>
      <c r="S13" s="2">
        <v>1252</v>
      </c>
      <c r="T13" s="2">
        <v>2295</v>
      </c>
      <c r="V13" t="str">
        <f>_xlfn.CONCAT(B13, ": ",P13," ", M13,"-",TEXT(C13,"mm/dd/yyyy"))</f>
        <v>44328: 1252 Mountain-200 Black, 46-01/05/1900</v>
      </c>
      <c r="X13" t="str">
        <v>Young Adults (25-34)</v>
      </c>
      <c r="Y13" s="5">
        <f t="shared" ref="Y13:Y14" si="0">AVERAGEIF($G$2:$G$89,X13,$T$2:$T$89)</f>
        <v>3859.5483870967741</v>
      </c>
    </row>
    <row r="14" spans="1:25" x14ac:dyDescent="0.35">
      <c r="A14">
        <v>261707</v>
      </c>
      <c r="B14" s="1">
        <v>44359</v>
      </c>
      <c r="C14">
        <v>6</v>
      </c>
      <c r="D14" t="s">
        <v>19</v>
      </c>
      <c r="E14">
        <v>2021</v>
      </c>
      <c r="F14">
        <v>23</v>
      </c>
      <c r="G14" t="s">
        <v>36</v>
      </c>
      <c r="H14" t="s">
        <v>27</v>
      </c>
      <c r="I14" t="s">
        <v>28</v>
      </c>
      <c r="J14" t="s">
        <v>29</v>
      </c>
      <c r="K14" t="s">
        <v>24</v>
      </c>
      <c r="L14" t="s">
        <v>25</v>
      </c>
      <c r="M14" t="s">
        <v>31</v>
      </c>
      <c r="N14">
        <v>3</v>
      </c>
      <c r="P14" s="2">
        <v>420</v>
      </c>
      <c r="Q14" s="2">
        <v>769</v>
      </c>
      <c r="R14" s="2">
        <v>1047</v>
      </c>
      <c r="S14" s="2">
        <v>1260</v>
      </c>
      <c r="T14" s="2">
        <v>2307</v>
      </c>
      <c r="V14" t="str">
        <f>_xlfn.CONCAT(B14, ": ",P14," ", M14,"-",TEXT(C14,"mm/dd/yyyy"))</f>
        <v>44359: 420 Mountain-400-W Silver, 46-01/06/1900</v>
      </c>
      <c r="X14" t="str">
        <v>Youth (&lt;25)</v>
      </c>
      <c r="Y14" s="5">
        <f t="shared" si="0"/>
        <v>3533</v>
      </c>
    </row>
    <row r="15" spans="1:25" x14ac:dyDescent="0.35">
      <c r="A15">
        <v>261708</v>
      </c>
      <c r="B15" s="1">
        <v>44359</v>
      </c>
      <c r="C15">
        <v>6</v>
      </c>
      <c r="D15" t="s">
        <v>19</v>
      </c>
      <c r="E15">
        <v>2021</v>
      </c>
      <c r="F15">
        <v>27</v>
      </c>
      <c r="G15" t="s">
        <v>32</v>
      </c>
      <c r="H15" t="s">
        <v>27</v>
      </c>
      <c r="I15" t="s">
        <v>43</v>
      </c>
      <c r="J15" t="s">
        <v>44</v>
      </c>
      <c r="K15" t="s">
        <v>24</v>
      </c>
      <c r="L15" t="s">
        <v>25</v>
      </c>
      <c r="M15" t="s">
        <v>26</v>
      </c>
      <c r="N15">
        <v>1</v>
      </c>
      <c r="P15" s="2">
        <v>1252</v>
      </c>
      <c r="Q15" s="2">
        <v>2295</v>
      </c>
      <c r="R15" s="2">
        <v>1043</v>
      </c>
      <c r="S15" s="2">
        <v>1252</v>
      </c>
      <c r="T15" s="2">
        <v>2295</v>
      </c>
      <c r="V15" t="str">
        <f>_xlfn.CONCAT(B15, ": ",P15," ", M15,"-",TEXT(C15,"mm/dd/yyyy"))</f>
        <v>44359: 1252 Mountain-200 Black, 46-01/06/1900</v>
      </c>
    </row>
    <row r="16" spans="1:25" x14ac:dyDescent="0.35">
      <c r="A16">
        <v>261709</v>
      </c>
      <c r="B16" s="1">
        <v>44359</v>
      </c>
      <c r="C16">
        <v>6</v>
      </c>
      <c r="D16" t="s">
        <v>19</v>
      </c>
      <c r="E16">
        <v>2021</v>
      </c>
      <c r="F16">
        <v>36</v>
      </c>
      <c r="G16" t="s">
        <v>20</v>
      </c>
      <c r="H16" t="s">
        <v>27</v>
      </c>
      <c r="I16" t="s">
        <v>33</v>
      </c>
      <c r="J16" t="s">
        <v>34</v>
      </c>
      <c r="K16" t="s">
        <v>24</v>
      </c>
      <c r="L16" t="s">
        <v>25</v>
      </c>
      <c r="M16" t="s">
        <v>45</v>
      </c>
      <c r="N16">
        <v>1</v>
      </c>
      <c r="P16" s="2">
        <v>1252</v>
      </c>
      <c r="Q16" s="2">
        <v>2295</v>
      </c>
      <c r="R16" s="2">
        <v>1043</v>
      </c>
      <c r="S16" s="2">
        <v>1252</v>
      </c>
      <c r="T16" s="2">
        <v>2295</v>
      </c>
      <c r="V16" t="str">
        <f>_xlfn.CONCAT(B16, ": ",P16," ", M16,"-",TEXT(C16,"mm/dd/yyyy"))</f>
        <v>44359: 1252 Mountain-200 Black, 42-01/06/1900</v>
      </c>
      <c r="X16" s="4" t="s">
        <v>85</v>
      </c>
      <c r="Y16" s="4"/>
    </row>
    <row r="17" spans="1:25" x14ac:dyDescent="0.35">
      <c r="A17">
        <v>261710</v>
      </c>
      <c r="B17" s="1">
        <v>44359</v>
      </c>
      <c r="C17">
        <v>6</v>
      </c>
      <c r="D17" t="s">
        <v>19</v>
      </c>
      <c r="E17">
        <v>2021</v>
      </c>
      <c r="F17">
        <v>47</v>
      </c>
      <c r="G17" t="s">
        <v>20</v>
      </c>
      <c r="H17" t="s">
        <v>27</v>
      </c>
      <c r="I17" t="s">
        <v>28</v>
      </c>
      <c r="J17" t="s">
        <v>29</v>
      </c>
      <c r="K17" t="s">
        <v>24</v>
      </c>
      <c r="L17" t="s">
        <v>25</v>
      </c>
      <c r="M17" t="s">
        <v>42</v>
      </c>
      <c r="N17">
        <v>1</v>
      </c>
      <c r="P17" s="2">
        <v>1266</v>
      </c>
      <c r="Q17" s="2">
        <v>2320</v>
      </c>
      <c r="R17" s="2">
        <v>1054</v>
      </c>
      <c r="S17" s="2">
        <v>1266</v>
      </c>
      <c r="T17" s="2">
        <v>2320</v>
      </c>
      <c r="V17" t="str">
        <f>_xlfn.CONCAT(B17, ": ",P17," ", M17,"-",TEXT(C17,"mm/dd/yyyy"))</f>
        <v>44359: 1266 Mountain-200 Silver, 38-01/06/1900</v>
      </c>
      <c r="X17" t="s">
        <v>20</v>
      </c>
      <c r="Y17" s="5">
        <f>_xlfn.MINIFS($S$2:$S$89,$G$2:$G$89,X17)</f>
        <v>295</v>
      </c>
    </row>
    <row r="18" spans="1:25" x14ac:dyDescent="0.35">
      <c r="A18">
        <v>261711</v>
      </c>
      <c r="B18" s="1">
        <v>44389</v>
      </c>
      <c r="C18">
        <v>7</v>
      </c>
      <c r="D18" t="s">
        <v>19</v>
      </c>
      <c r="E18">
        <v>2021</v>
      </c>
      <c r="F18">
        <v>30</v>
      </c>
      <c r="G18" t="s">
        <v>32</v>
      </c>
      <c r="H18" t="s">
        <v>27</v>
      </c>
      <c r="I18" t="s">
        <v>22</v>
      </c>
      <c r="J18" t="s">
        <v>23</v>
      </c>
      <c r="K18" t="s">
        <v>24</v>
      </c>
      <c r="L18" t="s">
        <v>25</v>
      </c>
      <c r="M18" t="s">
        <v>46</v>
      </c>
      <c r="N18">
        <v>4</v>
      </c>
      <c r="P18" s="2">
        <v>420</v>
      </c>
      <c r="Q18" s="2">
        <v>769</v>
      </c>
      <c r="R18" s="2">
        <v>1396</v>
      </c>
      <c r="S18" s="2">
        <v>1680</v>
      </c>
      <c r="T18" s="2">
        <v>3076</v>
      </c>
      <c r="V18" t="str">
        <f>_xlfn.CONCAT(B18, ": ",P18," ", M18,"-",TEXT(C18,"mm/dd/yyyy"))</f>
        <v>44389: 420 Mountain-400-W Silver, 38-01/07/1900</v>
      </c>
      <c r="X18" t="s">
        <v>32</v>
      </c>
      <c r="Y18" s="5">
        <f t="shared" ref="Y18:Y19" si="1">_xlfn.MINIFS($S$2:$S$89,$G$2:$G$89,X18)</f>
        <v>295</v>
      </c>
    </row>
    <row r="19" spans="1:25" x14ac:dyDescent="0.35">
      <c r="A19">
        <v>261712</v>
      </c>
      <c r="B19" s="1">
        <v>44389</v>
      </c>
      <c r="C19">
        <v>7</v>
      </c>
      <c r="D19" t="s">
        <v>19</v>
      </c>
      <c r="E19">
        <v>2021</v>
      </c>
      <c r="F19">
        <v>38</v>
      </c>
      <c r="G19" t="s">
        <v>20</v>
      </c>
      <c r="H19" t="s">
        <v>27</v>
      </c>
      <c r="I19" t="s">
        <v>22</v>
      </c>
      <c r="J19" t="s">
        <v>23</v>
      </c>
      <c r="K19" t="s">
        <v>24</v>
      </c>
      <c r="L19" t="s">
        <v>25</v>
      </c>
      <c r="M19" t="s">
        <v>30</v>
      </c>
      <c r="N19">
        <v>2</v>
      </c>
      <c r="P19" s="2">
        <v>1266</v>
      </c>
      <c r="Q19" s="2">
        <v>2320</v>
      </c>
      <c r="R19" s="2">
        <v>2108</v>
      </c>
      <c r="S19" s="2">
        <v>2532</v>
      </c>
      <c r="T19" s="2">
        <v>4640</v>
      </c>
      <c r="V19" t="str">
        <f>_xlfn.CONCAT(B19, ": ",P19," ", M19,"-",TEXT(C19,"mm/dd/yyyy"))</f>
        <v>44389: 1266 Mountain-200 Silver, 42-01/07/1900</v>
      </c>
      <c r="X19" t="s">
        <v>36</v>
      </c>
      <c r="Y19" s="5">
        <f t="shared" si="1"/>
        <v>308</v>
      </c>
    </row>
    <row r="20" spans="1:25" x14ac:dyDescent="0.35">
      <c r="A20">
        <v>261713</v>
      </c>
      <c r="B20" s="1">
        <v>44420</v>
      </c>
      <c r="C20">
        <v>8</v>
      </c>
      <c r="D20" t="s">
        <v>19</v>
      </c>
      <c r="E20">
        <v>2021</v>
      </c>
      <c r="F20">
        <v>19</v>
      </c>
      <c r="G20" t="s">
        <v>36</v>
      </c>
      <c r="H20" t="s">
        <v>21</v>
      </c>
      <c r="I20" t="s">
        <v>33</v>
      </c>
      <c r="J20" t="s">
        <v>34</v>
      </c>
      <c r="K20" t="s">
        <v>24</v>
      </c>
      <c r="L20" t="s">
        <v>25</v>
      </c>
      <c r="M20" t="s">
        <v>47</v>
      </c>
      <c r="N20">
        <v>4</v>
      </c>
      <c r="P20" s="2">
        <v>308</v>
      </c>
      <c r="Q20" s="2">
        <v>565</v>
      </c>
      <c r="R20" s="2">
        <v>1028</v>
      </c>
      <c r="S20" s="2">
        <v>1232</v>
      </c>
      <c r="T20" s="2">
        <v>2260</v>
      </c>
      <c r="V20" t="str">
        <f>_xlfn.CONCAT(B20, ": ",P20," ", M20,"-",TEXT(C20,"mm/dd/yyyy"))</f>
        <v>44420: 308 Mountain-500 Silver, 42-01/08/1900</v>
      </c>
    </row>
    <row r="21" spans="1:25" x14ac:dyDescent="0.35">
      <c r="A21">
        <v>261714</v>
      </c>
      <c r="B21" s="1">
        <v>44420</v>
      </c>
      <c r="C21">
        <v>8</v>
      </c>
      <c r="D21" t="s">
        <v>19</v>
      </c>
      <c r="E21">
        <v>2021</v>
      </c>
      <c r="F21">
        <v>30</v>
      </c>
      <c r="G21" t="s">
        <v>32</v>
      </c>
      <c r="H21" t="s">
        <v>21</v>
      </c>
      <c r="I21" t="s">
        <v>43</v>
      </c>
      <c r="J21" t="s">
        <v>44</v>
      </c>
      <c r="K21" t="s">
        <v>24</v>
      </c>
      <c r="L21" t="s">
        <v>25</v>
      </c>
      <c r="M21" t="s">
        <v>42</v>
      </c>
      <c r="N21">
        <v>4</v>
      </c>
      <c r="P21" s="2">
        <v>1266</v>
      </c>
      <c r="Q21" s="2">
        <v>2320</v>
      </c>
      <c r="R21" s="2">
        <v>4216</v>
      </c>
      <c r="S21" s="2">
        <v>5064</v>
      </c>
      <c r="T21" s="2">
        <v>9280</v>
      </c>
      <c r="V21" t="str">
        <f>_xlfn.CONCAT(B21, ": ",P21," ", M21,"-",TEXT(C21,"mm/dd/yyyy"))</f>
        <v>44420: 1266 Mountain-200 Silver, 38-01/08/1900</v>
      </c>
      <c r="X21" s="4" t="s">
        <v>86</v>
      </c>
      <c r="Y21" s="4"/>
    </row>
    <row r="22" spans="1:25" x14ac:dyDescent="0.35">
      <c r="A22">
        <v>261715</v>
      </c>
      <c r="B22" s="1">
        <v>44420</v>
      </c>
      <c r="C22">
        <v>8</v>
      </c>
      <c r="D22" t="s">
        <v>19</v>
      </c>
      <c r="E22">
        <v>2021</v>
      </c>
      <c r="F22">
        <v>39</v>
      </c>
      <c r="G22" t="s">
        <v>20</v>
      </c>
      <c r="H22" t="s">
        <v>21</v>
      </c>
      <c r="I22" t="s">
        <v>22</v>
      </c>
      <c r="J22" t="s">
        <v>48</v>
      </c>
      <c r="K22" t="s">
        <v>24</v>
      </c>
      <c r="L22" t="s">
        <v>25</v>
      </c>
      <c r="M22" t="s">
        <v>45</v>
      </c>
      <c r="N22">
        <v>2</v>
      </c>
      <c r="P22" s="2">
        <v>1252</v>
      </c>
      <c r="Q22" s="2">
        <v>2295</v>
      </c>
      <c r="R22" s="2">
        <v>2086</v>
      </c>
      <c r="S22" s="2">
        <v>2504</v>
      </c>
      <c r="T22" s="2">
        <v>4590</v>
      </c>
      <c r="V22" t="str">
        <f>_xlfn.CONCAT(B22, ": ",P22," ", M22,"-",TEXT(C22,"mm/dd/yyyy"))</f>
        <v>44420: 1252 Mountain-200 Black, 42-01/08/1900</v>
      </c>
      <c r="X22" t="str" cm="1">
        <f t="array" ref="X22:X27">_xlfn.UNIQUE(I2:I89)</f>
        <v>United States</v>
      </c>
      <c r="Y22" s="5">
        <f>_xlfn.MAXIFS($T$2:$T$89,$I$2:$I$89,X22)</f>
        <v>13500</v>
      </c>
    </row>
    <row r="23" spans="1:25" x14ac:dyDescent="0.35">
      <c r="A23">
        <v>261716</v>
      </c>
      <c r="B23" s="1">
        <v>44420</v>
      </c>
      <c r="C23">
        <v>8</v>
      </c>
      <c r="D23" t="s">
        <v>19</v>
      </c>
      <c r="E23">
        <v>2021</v>
      </c>
      <c r="F23">
        <v>35</v>
      </c>
      <c r="G23" t="s">
        <v>20</v>
      </c>
      <c r="H23" t="s">
        <v>21</v>
      </c>
      <c r="I23" t="s">
        <v>22</v>
      </c>
      <c r="J23" t="s">
        <v>23</v>
      </c>
      <c r="K23" t="s">
        <v>24</v>
      </c>
      <c r="L23" t="s">
        <v>25</v>
      </c>
      <c r="M23" t="s">
        <v>49</v>
      </c>
      <c r="N23">
        <v>1</v>
      </c>
      <c r="P23" s="2">
        <v>295</v>
      </c>
      <c r="Q23" s="2">
        <v>540</v>
      </c>
      <c r="R23" s="2">
        <v>245</v>
      </c>
      <c r="S23" s="2">
        <v>295</v>
      </c>
      <c r="T23" s="2">
        <v>540</v>
      </c>
      <c r="V23" t="str">
        <f>_xlfn.CONCAT(B23, ": ",P23," ", M23,"-",TEXT(C23,"mm/dd/yyyy"))</f>
        <v>44420: 295 Mountain-500 Black, 42-01/08/1900</v>
      </c>
      <c r="X23" t="str">
        <v>United Kingdom</v>
      </c>
      <c r="Y23" s="5">
        <f t="shared" ref="Y23:Y27" si="2">_xlfn.MAXIFS($T$2:$T$89,$I$2:$I$89,X23)</f>
        <v>2320</v>
      </c>
    </row>
    <row r="24" spans="1:25" x14ac:dyDescent="0.35">
      <c r="A24">
        <v>261717</v>
      </c>
      <c r="B24" s="1">
        <v>44451</v>
      </c>
      <c r="C24">
        <v>9</v>
      </c>
      <c r="D24" t="s">
        <v>19</v>
      </c>
      <c r="E24">
        <v>2021</v>
      </c>
      <c r="F24">
        <v>33</v>
      </c>
      <c r="G24" t="s">
        <v>32</v>
      </c>
      <c r="H24" t="s">
        <v>21</v>
      </c>
      <c r="I24" t="s">
        <v>33</v>
      </c>
      <c r="J24" t="s">
        <v>50</v>
      </c>
      <c r="K24" t="s">
        <v>24</v>
      </c>
      <c r="L24" t="s">
        <v>25</v>
      </c>
      <c r="M24" t="s">
        <v>51</v>
      </c>
      <c r="N24">
        <v>2</v>
      </c>
      <c r="P24" s="2">
        <v>1898</v>
      </c>
      <c r="Q24" s="2">
        <v>3375</v>
      </c>
      <c r="R24" s="2">
        <v>2954</v>
      </c>
      <c r="S24" s="2">
        <v>3796</v>
      </c>
      <c r="T24" s="2">
        <v>6750</v>
      </c>
      <c r="V24" t="str">
        <f>_xlfn.CONCAT(B24, ": ",P24," ", M24,"-",TEXT(C24,"mm/dd/yyyy"))</f>
        <v>44451: 1898 Mountain-100 Black, 38-01/09/1900</v>
      </c>
      <c r="X24" t="str">
        <v>Australia</v>
      </c>
      <c r="Y24" s="5">
        <f t="shared" si="2"/>
        <v>13500</v>
      </c>
    </row>
    <row r="25" spans="1:25" x14ac:dyDescent="0.35">
      <c r="A25">
        <v>261718</v>
      </c>
      <c r="B25" s="1">
        <v>44451</v>
      </c>
      <c r="C25">
        <v>9</v>
      </c>
      <c r="D25" t="s">
        <v>19</v>
      </c>
      <c r="E25">
        <v>2021</v>
      </c>
      <c r="F25">
        <v>41</v>
      </c>
      <c r="G25" t="s">
        <v>20</v>
      </c>
      <c r="H25" t="s">
        <v>21</v>
      </c>
      <c r="I25" t="s">
        <v>39</v>
      </c>
      <c r="J25" t="s">
        <v>52</v>
      </c>
      <c r="K25" t="s">
        <v>24</v>
      </c>
      <c r="L25" t="s">
        <v>25</v>
      </c>
      <c r="M25" t="s">
        <v>30</v>
      </c>
      <c r="N25">
        <v>1</v>
      </c>
      <c r="P25" s="2">
        <v>1266</v>
      </c>
      <c r="Q25" s="2">
        <v>2320</v>
      </c>
      <c r="R25" s="2">
        <v>1054</v>
      </c>
      <c r="S25" s="2">
        <v>1266</v>
      </c>
      <c r="T25" s="2">
        <v>2320</v>
      </c>
      <c r="V25" t="str">
        <f>_xlfn.CONCAT(B25, ": ",P25," ", M25,"-",TEXT(C25,"mm/dd/yyyy"))</f>
        <v>44451: 1266 Mountain-200 Silver, 42-01/09/1900</v>
      </c>
      <c r="X25" t="str">
        <v>Germany</v>
      </c>
      <c r="Y25" s="5">
        <f t="shared" si="2"/>
        <v>9280</v>
      </c>
    </row>
    <row r="26" spans="1:25" x14ac:dyDescent="0.35">
      <c r="A26">
        <v>261719</v>
      </c>
      <c r="B26" s="1">
        <v>44481</v>
      </c>
      <c r="C26">
        <v>10</v>
      </c>
      <c r="D26" t="s">
        <v>19</v>
      </c>
      <c r="E26">
        <v>2021</v>
      </c>
      <c r="F26">
        <v>34</v>
      </c>
      <c r="G26" t="s">
        <v>32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45</v>
      </c>
      <c r="N26">
        <v>2</v>
      </c>
      <c r="P26" s="2">
        <v>1252</v>
      </c>
      <c r="Q26" s="2">
        <v>2295</v>
      </c>
      <c r="R26" s="2">
        <v>2086</v>
      </c>
      <c r="S26" s="2">
        <v>2504</v>
      </c>
      <c r="T26" s="2">
        <v>4590</v>
      </c>
      <c r="V26" t="str">
        <f>_xlfn.CONCAT(B26, ": ",P26," ", M26,"-",TEXT(C26,"mm/dd/yyyy"))</f>
        <v>44481: 1252 Mountain-200 Black, 42-01/10/1900</v>
      </c>
      <c r="X26" t="str">
        <v>Canada</v>
      </c>
      <c r="Y26" s="5">
        <f t="shared" si="2"/>
        <v>9280</v>
      </c>
    </row>
    <row r="27" spans="1:25" x14ac:dyDescent="0.35">
      <c r="A27">
        <v>261720</v>
      </c>
      <c r="B27" s="1">
        <v>44481</v>
      </c>
      <c r="C27">
        <v>10</v>
      </c>
      <c r="D27" t="s">
        <v>19</v>
      </c>
      <c r="E27">
        <v>2021</v>
      </c>
      <c r="F27">
        <v>40</v>
      </c>
      <c r="G27" t="s">
        <v>20</v>
      </c>
      <c r="H27" t="s">
        <v>27</v>
      </c>
      <c r="I27" t="s">
        <v>33</v>
      </c>
      <c r="J27" t="s">
        <v>34</v>
      </c>
      <c r="K27" t="s">
        <v>24</v>
      </c>
      <c r="L27" t="s">
        <v>25</v>
      </c>
      <c r="M27" t="s">
        <v>45</v>
      </c>
      <c r="N27">
        <v>2</v>
      </c>
      <c r="P27" s="2">
        <v>1252</v>
      </c>
      <c r="Q27" s="2">
        <v>2295</v>
      </c>
      <c r="R27" s="2">
        <v>2086</v>
      </c>
      <c r="S27" s="2">
        <v>2504</v>
      </c>
      <c r="T27" s="2">
        <v>4590</v>
      </c>
      <c r="V27" t="str">
        <f>_xlfn.CONCAT(B27, ": ",P27," ", M27,"-",TEXT(C27,"mm/dd/yyyy"))</f>
        <v>44481: 1252 Mountain-200 Black, 42-01/10/1900</v>
      </c>
      <c r="X27" t="str">
        <v>France</v>
      </c>
      <c r="Y27" s="5">
        <f t="shared" si="2"/>
        <v>9280</v>
      </c>
    </row>
    <row r="28" spans="1:25" x14ac:dyDescent="0.35">
      <c r="A28">
        <v>261721</v>
      </c>
      <c r="B28" s="1">
        <v>44481</v>
      </c>
      <c r="C28">
        <v>10</v>
      </c>
      <c r="D28" t="s">
        <v>19</v>
      </c>
      <c r="E28">
        <v>2021</v>
      </c>
      <c r="F28">
        <v>26</v>
      </c>
      <c r="G28" t="s">
        <v>32</v>
      </c>
      <c r="H28" t="s">
        <v>27</v>
      </c>
      <c r="I28" t="s">
        <v>28</v>
      </c>
      <c r="J28" t="s">
        <v>29</v>
      </c>
      <c r="K28" t="s">
        <v>24</v>
      </c>
      <c r="L28" t="s">
        <v>25</v>
      </c>
      <c r="M28" t="s">
        <v>37</v>
      </c>
      <c r="N28">
        <v>1</v>
      </c>
      <c r="P28" s="2">
        <v>1252</v>
      </c>
      <c r="Q28" s="2">
        <v>2295</v>
      </c>
      <c r="R28" s="2">
        <v>1043</v>
      </c>
      <c r="S28" s="2">
        <v>1252</v>
      </c>
      <c r="T28" s="2">
        <v>2295</v>
      </c>
      <c r="V28" t="str">
        <f>_xlfn.CONCAT(B28, ": ",P28," ", M28,"-",TEXT(C28,"mm/dd/yyyy"))</f>
        <v>44481: 1252 Mountain-200 Black, 38-01/10/1900</v>
      </c>
    </row>
    <row r="29" spans="1:25" x14ac:dyDescent="0.35">
      <c r="A29">
        <v>261722</v>
      </c>
      <c r="B29" s="1">
        <v>44481</v>
      </c>
      <c r="C29">
        <v>10</v>
      </c>
      <c r="D29" t="s">
        <v>19</v>
      </c>
      <c r="E29">
        <v>2021</v>
      </c>
      <c r="F29">
        <v>34</v>
      </c>
      <c r="G29" t="s">
        <v>32</v>
      </c>
      <c r="H29" t="s">
        <v>27</v>
      </c>
      <c r="I29" t="s">
        <v>22</v>
      </c>
      <c r="J29" t="s">
        <v>23</v>
      </c>
      <c r="K29" t="s">
        <v>24</v>
      </c>
      <c r="L29" t="s">
        <v>25</v>
      </c>
      <c r="M29" t="s">
        <v>53</v>
      </c>
      <c r="N29">
        <v>1</v>
      </c>
      <c r="P29" s="2">
        <v>295</v>
      </c>
      <c r="Q29" s="2">
        <v>540</v>
      </c>
      <c r="R29" s="2">
        <v>245</v>
      </c>
      <c r="S29" s="2">
        <v>295</v>
      </c>
      <c r="T29" s="2">
        <v>540</v>
      </c>
      <c r="V29" t="str">
        <f>_xlfn.CONCAT(B29, ": ",P29," ", M29,"-",TEXT(C29,"mm/dd/yyyy"))</f>
        <v>44481: 295 Mountain-500 Black, 40-01/10/1900</v>
      </c>
      <c r="X29" s="4" t="s">
        <v>87</v>
      </c>
      <c r="Y29" s="4"/>
    </row>
    <row r="30" spans="1:25" x14ac:dyDescent="0.35">
      <c r="A30">
        <v>261723</v>
      </c>
      <c r="B30" s="1">
        <v>44481</v>
      </c>
      <c r="C30">
        <v>10</v>
      </c>
      <c r="D30" t="s">
        <v>19</v>
      </c>
      <c r="E30">
        <v>2021</v>
      </c>
      <c r="F30">
        <v>34</v>
      </c>
      <c r="G30" t="s">
        <v>32</v>
      </c>
      <c r="H30" t="s">
        <v>21</v>
      </c>
      <c r="I30" t="s">
        <v>22</v>
      </c>
      <c r="J30" t="s">
        <v>38</v>
      </c>
      <c r="K30" t="s">
        <v>24</v>
      </c>
      <c r="L30" t="s">
        <v>25</v>
      </c>
      <c r="M30" t="s">
        <v>54</v>
      </c>
      <c r="N30">
        <v>1</v>
      </c>
      <c r="P30" s="2">
        <v>1912</v>
      </c>
      <c r="Q30" s="2">
        <v>3400</v>
      </c>
      <c r="R30" s="2">
        <v>1488</v>
      </c>
      <c r="S30" s="2">
        <v>1912</v>
      </c>
      <c r="T30" s="2">
        <v>3400</v>
      </c>
      <c r="V30" t="str">
        <f>_xlfn.CONCAT(B30, ": ",P30," ", M30,"-",TEXT(C30,"mm/dd/yyyy"))</f>
        <v>44481: 1912 Mountain-100 Silver, 44-01/10/1900</v>
      </c>
      <c r="X30" t="s">
        <v>22</v>
      </c>
      <c r="Y30" s="5">
        <f>SUMIFS($T$2:$T$89,$I$2:$I$89,X30,$G$2:$G$89,$G$2)</f>
        <v>103348</v>
      </c>
    </row>
    <row r="31" spans="1:25" x14ac:dyDescent="0.35">
      <c r="A31">
        <v>261724</v>
      </c>
      <c r="B31" s="1">
        <v>44481</v>
      </c>
      <c r="C31">
        <v>10</v>
      </c>
      <c r="D31" t="s">
        <v>19</v>
      </c>
      <c r="E31">
        <v>2021</v>
      </c>
      <c r="F31">
        <v>38</v>
      </c>
      <c r="G31" t="s">
        <v>20</v>
      </c>
      <c r="H31" t="s">
        <v>27</v>
      </c>
      <c r="I31" t="s">
        <v>33</v>
      </c>
      <c r="J31" t="s">
        <v>34</v>
      </c>
      <c r="K31" t="s">
        <v>24</v>
      </c>
      <c r="L31" t="s">
        <v>25</v>
      </c>
      <c r="M31" t="s">
        <v>37</v>
      </c>
      <c r="N31">
        <v>1</v>
      </c>
      <c r="P31" s="2">
        <v>1252</v>
      </c>
      <c r="Q31" s="2">
        <v>2295</v>
      </c>
      <c r="R31" s="2">
        <v>1043</v>
      </c>
      <c r="S31" s="2">
        <v>1252</v>
      </c>
      <c r="T31" s="2">
        <v>2295</v>
      </c>
      <c r="V31" t="str">
        <f>_xlfn.CONCAT(B31, ": ",P31," ", M31,"-",TEXT(C31,"mm/dd/yyyy"))</f>
        <v>44481: 1252 Mountain-200 Black, 38-01/10/1900</v>
      </c>
      <c r="X31" t="s">
        <v>28</v>
      </c>
      <c r="Y31" s="5">
        <f t="shared" ref="Y31:Y35" si="3">SUMIFS($T$2:$T$89,$I$2:$I$89,X31,$G$2:$G$89,$G$2)</f>
        <v>9230</v>
      </c>
    </row>
    <row r="32" spans="1:25" x14ac:dyDescent="0.35">
      <c r="A32">
        <v>261725</v>
      </c>
      <c r="B32" s="1">
        <v>44512</v>
      </c>
      <c r="C32">
        <v>11</v>
      </c>
      <c r="D32" t="s">
        <v>19</v>
      </c>
      <c r="E32">
        <v>2021</v>
      </c>
      <c r="F32">
        <v>24</v>
      </c>
      <c r="G32" t="s">
        <v>36</v>
      </c>
      <c r="H32" t="s">
        <v>21</v>
      </c>
      <c r="I32" t="s">
        <v>55</v>
      </c>
      <c r="J32" t="s">
        <v>56</v>
      </c>
      <c r="K32" t="s">
        <v>24</v>
      </c>
      <c r="L32" t="s">
        <v>25</v>
      </c>
      <c r="M32" t="s">
        <v>37</v>
      </c>
      <c r="N32">
        <v>3</v>
      </c>
      <c r="P32" s="2">
        <v>1252</v>
      </c>
      <c r="Q32" s="2">
        <v>2295</v>
      </c>
      <c r="R32" s="2">
        <v>3129</v>
      </c>
      <c r="S32" s="2">
        <v>3756</v>
      </c>
      <c r="T32" s="2">
        <v>6885</v>
      </c>
      <c r="V32" t="str">
        <f>_xlfn.CONCAT(B32, ": ",P32," ", M32,"-",TEXT(C32,"mm/dd/yyyy"))</f>
        <v>44512: 1252 Mountain-200 Black, 38-01/11/1900</v>
      </c>
      <c r="X32" t="s">
        <v>33</v>
      </c>
      <c r="Y32" s="5">
        <f t="shared" si="3"/>
        <v>63668</v>
      </c>
    </row>
    <row r="33" spans="1:25" x14ac:dyDescent="0.35">
      <c r="A33">
        <v>261726</v>
      </c>
      <c r="B33" s="1">
        <v>44512</v>
      </c>
      <c r="C33">
        <v>11</v>
      </c>
      <c r="D33" t="s">
        <v>19</v>
      </c>
      <c r="E33">
        <v>2021</v>
      </c>
      <c r="F33">
        <v>41</v>
      </c>
      <c r="G33" t="s">
        <v>20</v>
      </c>
      <c r="H33" t="s">
        <v>21</v>
      </c>
      <c r="I33" t="s">
        <v>33</v>
      </c>
      <c r="J33" t="s">
        <v>34</v>
      </c>
      <c r="K33" t="s">
        <v>24</v>
      </c>
      <c r="L33" t="s">
        <v>25</v>
      </c>
      <c r="M33" t="s">
        <v>46</v>
      </c>
      <c r="N33">
        <v>2</v>
      </c>
      <c r="P33" s="2">
        <v>420</v>
      </c>
      <c r="Q33" s="2">
        <v>769</v>
      </c>
      <c r="R33" s="2">
        <v>698</v>
      </c>
      <c r="S33" s="2">
        <v>840</v>
      </c>
      <c r="T33" s="2">
        <v>1538</v>
      </c>
      <c r="V33" t="str">
        <f>_xlfn.CONCAT(B33, ": ",P33," ", M33,"-",TEXT(C33,"mm/dd/yyyy"))</f>
        <v>44512: 420 Mountain-400-W Silver, 38-01/11/1900</v>
      </c>
      <c r="X33" t="s">
        <v>39</v>
      </c>
      <c r="Y33" s="5">
        <f t="shared" si="3"/>
        <v>30010</v>
      </c>
    </row>
    <row r="34" spans="1:25" x14ac:dyDescent="0.35">
      <c r="A34">
        <v>261727</v>
      </c>
      <c r="B34" s="1">
        <v>44512</v>
      </c>
      <c r="C34">
        <v>11</v>
      </c>
      <c r="D34" t="s">
        <v>19</v>
      </c>
      <c r="E34">
        <v>2021</v>
      </c>
      <c r="F34">
        <v>27</v>
      </c>
      <c r="G34" t="s">
        <v>32</v>
      </c>
      <c r="H34" t="s">
        <v>27</v>
      </c>
      <c r="I34" t="s">
        <v>43</v>
      </c>
      <c r="J34" t="s">
        <v>44</v>
      </c>
      <c r="K34" t="s">
        <v>24</v>
      </c>
      <c r="L34" t="s">
        <v>25</v>
      </c>
      <c r="M34" t="s">
        <v>26</v>
      </c>
      <c r="N34">
        <v>1</v>
      </c>
      <c r="P34" s="2">
        <v>1252</v>
      </c>
      <c r="Q34" s="2">
        <v>2295</v>
      </c>
      <c r="R34" s="2">
        <v>1043</v>
      </c>
      <c r="S34" s="2">
        <v>1252</v>
      </c>
      <c r="T34" s="2">
        <v>2295</v>
      </c>
      <c r="V34" t="str">
        <f>_xlfn.CONCAT(B34, ": ",P34," ", M34,"-",TEXT(C34,"mm/dd/yyyy"))</f>
        <v>44512: 1252 Mountain-200 Black, 46-01/11/1900</v>
      </c>
      <c r="X34" t="s">
        <v>43</v>
      </c>
      <c r="Y34" s="5">
        <f>SUMIFS($T$2:$T$89,$I$2:$I$89,X34,$G$2:$G$89,$G$2)</f>
        <v>0</v>
      </c>
    </row>
    <row r="35" spans="1:25" x14ac:dyDescent="0.35">
      <c r="A35">
        <v>261728</v>
      </c>
      <c r="B35" s="1">
        <v>44512</v>
      </c>
      <c r="C35">
        <v>11</v>
      </c>
      <c r="D35" t="s">
        <v>19</v>
      </c>
      <c r="E35">
        <v>2021</v>
      </c>
      <c r="F35">
        <v>37</v>
      </c>
      <c r="G35" t="s">
        <v>20</v>
      </c>
      <c r="H35" t="s">
        <v>27</v>
      </c>
      <c r="I35" t="s">
        <v>22</v>
      </c>
      <c r="J35" t="s">
        <v>23</v>
      </c>
      <c r="K35" t="s">
        <v>24</v>
      </c>
      <c r="L35" t="s">
        <v>25</v>
      </c>
      <c r="M35" t="s">
        <v>31</v>
      </c>
      <c r="N35">
        <v>1</v>
      </c>
      <c r="P35" s="2">
        <v>420</v>
      </c>
      <c r="Q35" s="2">
        <v>769</v>
      </c>
      <c r="R35" s="2">
        <v>349</v>
      </c>
      <c r="S35" s="2">
        <v>420</v>
      </c>
      <c r="T35" s="2">
        <v>769</v>
      </c>
      <c r="V35" t="str">
        <f>_xlfn.CONCAT(B35, ": ",P35," ", M35,"-",TEXT(C35,"mm/dd/yyyy"))</f>
        <v>44512: 420 Mountain-400-W Silver, 46-01/11/1900</v>
      </c>
      <c r="X35" t="s">
        <v>55</v>
      </c>
      <c r="Y35" s="5">
        <f t="shared" si="3"/>
        <v>0</v>
      </c>
    </row>
    <row r="36" spans="1:25" x14ac:dyDescent="0.35">
      <c r="A36">
        <v>261729</v>
      </c>
      <c r="B36" s="1">
        <v>44512</v>
      </c>
      <c r="C36">
        <v>11</v>
      </c>
      <c r="D36" t="s">
        <v>19</v>
      </c>
      <c r="E36">
        <v>2021</v>
      </c>
      <c r="F36">
        <v>38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42</v>
      </c>
      <c r="N36">
        <v>1</v>
      </c>
      <c r="P36" s="2">
        <v>1266</v>
      </c>
      <c r="Q36" s="2">
        <v>2320</v>
      </c>
      <c r="R36" s="2">
        <v>1054</v>
      </c>
      <c r="S36" s="2">
        <v>1266</v>
      </c>
      <c r="T36" s="2">
        <v>2320</v>
      </c>
      <c r="V36" t="str">
        <f>_xlfn.CONCAT(B36, ": ",P36," ", M36,"-",TEXT(C36,"mm/dd/yyyy"))</f>
        <v>44512: 1266 Mountain-200 Silver, 38-01/11/1900</v>
      </c>
    </row>
    <row r="37" spans="1:25" x14ac:dyDescent="0.35">
      <c r="A37">
        <v>261730</v>
      </c>
      <c r="B37" s="1">
        <v>44542</v>
      </c>
      <c r="C37">
        <v>12</v>
      </c>
      <c r="D37" t="s">
        <v>19</v>
      </c>
      <c r="E37">
        <v>2021</v>
      </c>
      <c r="F37">
        <v>36</v>
      </c>
      <c r="G37" t="s">
        <v>20</v>
      </c>
      <c r="H37" t="s">
        <v>21</v>
      </c>
      <c r="I37" t="s">
        <v>33</v>
      </c>
      <c r="J37" t="s">
        <v>34</v>
      </c>
      <c r="K37" t="s">
        <v>24</v>
      </c>
      <c r="L37" t="s">
        <v>25</v>
      </c>
      <c r="M37" t="s">
        <v>30</v>
      </c>
      <c r="N37">
        <v>4</v>
      </c>
      <c r="P37" s="2">
        <v>1266</v>
      </c>
      <c r="Q37" s="2">
        <v>2320</v>
      </c>
      <c r="R37" s="2">
        <v>4216</v>
      </c>
      <c r="S37" s="2">
        <v>5064</v>
      </c>
      <c r="T37" s="2">
        <v>9280</v>
      </c>
      <c r="V37" t="str">
        <f>_xlfn.CONCAT(B37, ": ",P37," ", M37,"-",TEXT(C37,"mm/dd/yyyy"))</f>
        <v>44542: 1266 Mountain-200 Silver, 42-01/12/1900</v>
      </c>
    </row>
    <row r="38" spans="1:25" x14ac:dyDescent="0.35">
      <c r="A38">
        <v>261731</v>
      </c>
      <c r="B38" s="1">
        <v>44542</v>
      </c>
      <c r="C38">
        <v>12</v>
      </c>
      <c r="D38" t="s">
        <v>19</v>
      </c>
      <c r="E38">
        <v>2021</v>
      </c>
      <c r="F38">
        <v>37</v>
      </c>
      <c r="G38" t="s">
        <v>20</v>
      </c>
      <c r="H38" t="s">
        <v>27</v>
      </c>
      <c r="I38" t="s">
        <v>22</v>
      </c>
      <c r="J38" t="s">
        <v>23</v>
      </c>
      <c r="K38" t="s">
        <v>24</v>
      </c>
      <c r="L38" t="s">
        <v>25</v>
      </c>
      <c r="M38" t="s">
        <v>31</v>
      </c>
      <c r="N38">
        <v>4</v>
      </c>
      <c r="P38" s="2">
        <v>420</v>
      </c>
      <c r="Q38" s="2">
        <v>769</v>
      </c>
      <c r="R38" s="2">
        <v>1396</v>
      </c>
      <c r="S38" s="2">
        <v>1680</v>
      </c>
      <c r="T38" s="2">
        <v>3076</v>
      </c>
      <c r="V38" t="str">
        <f>_xlfn.CONCAT(B38, ": ",P38," ", M38,"-",TEXT(C38,"mm/dd/yyyy"))</f>
        <v>44542: 420 Mountain-400-W Silver, 46-01/12/1900</v>
      </c>
    </row>
    <row r="39" spans="1:25" x14ac:dyDescent="0.35">
      <c r="A39">
        <v>261732</v>
      </c>
      <c r="B39" s="1">
        <v>44542</v>
      </c>
      <c r="C39">
        <v>12</v>
      </c>
      <c r="D39" t="s">
        <v>19</v>
      </c>
      <c r="E39">
        <v>2021</v>
      </c>
      <c r="F39">
        <v>34</v>
      </c>
      <c r="G39" t="s">
        <v>32</v>
      </c>
      <c r="H39" t="s">
        <v>27</v>
      </c>
      <c r="I39" t="s">
        <v>33</v>
      </c>
      <c r="J39" t="s">
        <v>34</v>
      </c>
      <c r="K39" t="s">
        <v>24</v>
      </c>
      <c r="L39" t="s">
        <v>25</v>
      </c>
      <c r="M39" t="s">
        <v>37</v>
      </c>
      <c r="N39">
        <v>2</v>
      </c>
      <c r="P39" s="2">
        <v>1252</v>
      </c>
      <c r="Q39" s="2">
        <v>2295</v>
      </c>
      <c r="R39" s="2">
        <v>2086</v>
      </c>
      <c r="S39" s="2">
        <v>2504</v>
      </c>
      <c r="T39" s="2">
        <v>4590</v>
      </c>
      <c r="V39" t="str">
        <f>_xlfn.CONCAT(B39, ": ",P39," ", M39,"-",TEXT(C39,"mm/dd/yyyy"))</f>
        <v>44542: 1252 Mountain-200 Black, 38-01/12/1900</v>
      </c>
    </row>
    <row r="40" spans="1:25" x14ac:dyDescent="0.35">
      <c r="A40">
        <v>261733</v>
      </c>
      <c r="B40" s="1">
        <v>44542</v>
      </c>
      <c r="C40">
        <v>12</v>
      </c>
      <c r="D40" t="s">
        <v>19</v>
      </c>
      <c r="E40">
        <v>2021</v>
      </c>
      <c r="F40">
        <v>35</v>
      </c>
      <c r="G40" t="s">
        <v>20</v>
      </c>
      <c r="H40" t="s">
        <v>21</v>
      </c>
      <c r="I40" t="s">
        <v>33</v>
      </c>
      <c r="J40" t="s">
        <v>50</v>
      </c>
      <c r="K40" t="s">
        <v>24</v>
      </c>
      <c r="L40" t="s">
        <v>25</v>
      </c>
      <c r="M40" t="s">
        <v>30</v>
      </c>
      <c r="N40">
        <v>1</v>
      </c>
      <c r="P40" s="2">
        <v>1266</v>
      </c>
      <c r="Q40" s="2">
        <v>2320</v>
      </c>
      <c r="R40" s="2">
        <v>1054</v>
      </c>
      <c r="S40" s="2">
        <v>1266</v>
      </c>
      <c r="T40" s="2">
        <v>2320</v>
      </c>
      <c r="V40" t="str">
        <f>_xlfn.CONCAT(B40, ": ",P40," ", M40,"-",TEXT(C40,"mm/dd/yyyy"))</f>
        <v>44542: 1266 Mountain-200 Silver, 42-01/12/1900</v>
      </c>
    </row>
    <row r="41" spans="1:25" x14ac:dyDescent="0.35">
      <c r="A41">
        <v>261734</v>
      </c>
      <c r="B41" s="1">
        <v>44542</v>
      </c>
      <c r="C41">
        <v>12</v>
      </c>
      <c r="D41" t="s">
        <v>19</v>
      </c>
      <c r="E41">
        <v>2021</v>
      </c>
      <c r="F41">
        <v>38</v>
      </c>
      <c r="G41" t="s">
        <v>20</v>
      </c>
      <c r="H41" t="s">
        <v>21</v>
      </c>
      <c r="I41" t="s">
        <v>22</v>
      </c>
      <c r="J41" t="s">
        <v>38</v>
      </c>
      <c r="K41" t="s">
        <v>24</v>
      </c>
      <c r="L41" t="s">
        <v>25</v>
      </c>
      <c r="M41" t="s">
        <v>30</v>
      </c>
      <c r="N41">
        <v>1</v>
      </c>
      <c r="P41" s="2">
        <v>1266</v>
      </c>
      <c r="Q41" s="2">
        <v>2320</v>
      </c>
      <c r="R41" s="2">
        <v>1054</v>
      </c>
      <c r="S41" s="2">
        <v>1266</v>
      </c>
      <c r="T41" s="2">
        <v>2320</v>
      </c>
      <c r="V41" t="str">
        <f>_xlfn.CONCAT(B41, ": ",P41," ", M41,"-",TEXT(C41,"mm/dd/yyyy"))</f>
        <v>44542: 1266 Mountain-200 Silver, 42-01/12/1900</v>
      </c>
    </row>
    <row r="42" spans="1:25" x14ac:dyDescent="0.35">
      <c r="A42">
        <v>261735</v>
      </c>
      <c r="B42" t="s">
        <v>57</v>
      </c>
      <c r="C42">
        <v>13</v>
      </c>
      <c r="D42" t="s">
        <v>19</v>
      </c>
      <c r="E42">
        <v>2021</v>
      </c>
      <c r="F42">
        <v>32</v>
      </c>
      <c r="G42" t="s">
        <v>32</v>
      </c>
      <c r="H42" t="s">
        <v>21</v>
      </c>
      <c r="I42" t="s">
        <v>33</v>
      </c>
      <c r="J42" t="s">
        <v>41</v>
      </c>
      <c r="K42" t="s">
        <v>24</v>
      </c>
      <c r="L42" t="s">
        <v>25</v>
      </c>
      <c r="M42" t="s">
        <v>30</v>
      </c>
      <c r="N42">
        <v>3</v>
      </c>
      <c r="P42" s="2">
        <v>1266</v>
      </c>
      <c r="Q42" s="2">
        <v>2320</v>
      </c>
      <c r="R42" s="2">
        <v>3162</v>
      </c>
      <c r="S42" s="2">
        <v>3798</v>
      </c>
      <c r="T42" s="2">
        <v>6960</v>
      </c>
      <c r="V42" t="str">
        <f>_xlfn.CONCAT(B42, ": ",P42," ", M42,"-",TEXT(C42,"mm/dd/yyyy"))</f>
        <v>12/13/2021: 1266 Mountain-200 Silver, 42-01/13/1900</v>
      </c>
    </row>
    <row r="43" spans="1:25" x14ac:dyDescent="0.35">
      <c r="A43">
        <v>261736</v>
      </c>
      <c r="B43" t="s">
        <v>57</v>
      </c>
      <c r="C43">
        <v>13</v>
      </c>
      <c r="D43" t="s">
        <v>19</v>
      </c>
      <c r="E43">
        <v>2021</v>
      </c>
      <c r="F43">
        <v>40</v>
      </c>
      <c r="G43" t="s">
        <v>20</v>
      </c>
      <c r="H43" t="s">
        <v>21</v>
      </c>
      <c r="I43" t="s">
        <v>22</v>
      </c>
      <c r="J43" t="s">
        <v>23</v>
      </c>
      <c r="K43" t="s">
        <v>24</v>
      </c>
      <c r="L43" t="s">
        <v>25</v>
      </c>
      <c r="M43" t="s">
        <v>58</v>
      </c>
      <c r="N43">
        <v>1</v>
      </c>
      <c r="P43" s="2">
        <v>308</v>
      </c>
      <c r="Q43" s="2">
        <v>565</v>
      </c>
      <c r="R43" s="2">
        <v>257</v>
      </c>
      <c r="S43" s="2">
        <v>308</v>
      </c>
      <c r="T43" s="2">
        <v>565</v>
      </c>
      <c r="V43" t="str">
        <f>_xlfn.CONCAT(B43, ": ",P43," ", M43,"-",TEXT(C43,"mm/dd/yyyy"))</f>
        <v>12/13/2021: 308 Mountain-500 Silver, 40-01/13/1900</v>
      </c>
    </row>
    <row r="44" spans="1:25" x14ac:dyDescent="0.35">
      <c r="A44">
        <v>261737</v>
      </c>
      <c r="B44" t="s">
        <v>57</v>
      </c>
      <c r="C44">
        <v>13</v>
      </c>
      <c r="D44" t="s">
        <v>19</v>
      </c>
      <c r="E44">
        <v>2021</v>
      </c>
      <c r="F44">
        <v>44</v>
      </c>
      <c r="G44" t="s">
        <v>20</v>
      </c>
      <c r="H44" t="s">
        <v>21</v>
      </c>
      <c r="I44" t="s">
        <v>28</v>
      </c>
      <c r="J44" t="s">
        <v>29</v>
      </c>
      <c r="K44" t="s">
        <v>24</v>
      </c>
      <c r="L44" t="s">
        <v>25</v>
      </c>
      <c r="M44" t="s">
        <v>37</v>
      </c>
      <c r="N44">
        <v>1</v>
      </c>
      <c r="P44" s="2">
        <v>1252</v>
      </c>
      <c r="Q44" s="2">
        <v>2295</v>
      </c>
      <c r="R44" s="2">
        <v>1043</v>
      </c>
      <c r="S44" s="2">
        <v>1252</v>
      </c>
      <c r="T44" s="2">
        <v>2295</v>
      </c>
      <c r="V44" t="str">
        <f>_xlfn.CONCAT(B44, ": ",P44," ", M44,"-",TEXT(C44,"mm/dd/yyyy"))</f>
        <v>12/13/2021: 1252 Mountain-200 Black, 38-01/13/1900</v>
      </c>
    </row>
    <row r="45" spans="1:25" x14ac:dyDescent="0.35">
      <c r="A45">
        <v>261738</v>
      </c>
      <c r="B45" t="s">
        <v>57</v>
      </c>
      <c r="C45">
        <v>13</v>
      </c>
      <c r="D45" t="s">
        <v>19</v>
      </c>
      <c r="E45">
        <v>2021</v>
      </c>
      <c r="F45">
        <v>49</v>
      </c>
      <c r="G45" t="s">
        <v>20</v>
      </c>
      <c r="H45" t="s">
        <v>27</v>
      </c>
      <c r="I45" t="s">
        <v>28</v>
      </c>
      <c r="J45" t="s">
        <v>29</v>
      </c>
      <c r="K45" t="s">
        <v>24</v>
      </c>
      <c r="L45" t="s">
        <v>25</v>
      </c>
      <c r="M45" t="s">
        <v>37</v>
      </c>
      <c r="N45">
        <v>1</v>
      </c>
      <c r="P45" s="2">
        <v>1252</v>
      </c>
      <c r="Q45" s="2">
        <v>2295</v>
      </c>
      <c r="R45" s="2">
        <v>1043</v>
      </c>
      <c r="S45" s="2">
        <v>1252</v>
      </c>
      <c r="T45" s="2">
        <v>2295</v>
      </c>
      <c r="V45" t="str">
        <f>_xlfn.CONCAT(B45, ": ",P45," ", M45,"-",TEXT(C45,"mm/dd/yyyy"))</f>
        <v>12/13/2021: 1252 Mountain-200 Black, 38-01/13/1900</v>
      </c>
    </row>
    <row r="46" spans="1:25" x14ac:dyDescent="0.35">
      <c r="A46">
        <v>261739</v>
      </c>
      <c r="B46" t="s">
        <v>59</v>
      </c>
      <c r="C46">
        <v>14</v>
      </c>
      <c r="D46" t="s">
        <v>19</v>
      </c>
      <c r="E46">
        <v>2021</v>
      </c>
      <c r="F46">
        <v>30</v>
      </c>
      <c r="G46" t="s">
        <v>32</v>
      </c>
      <c r="H46" t="s">
        <v>21</v>
      </c>
      <c r="I46" t="s">
        <v>22</v>
      </c>
      <c r="J46" t="s">
        <v>38</v>
      </c>
      <c r="K46" t="s">
        <v>24</v>
      </c>
      <c r="L46" t="s">
        <v>25</v>
      </c>
      <c r="M46" t="s">
        <v>42</v>
      </c>
      <c r="N46">
        <v>2</v>
      </c>
      <c r="P46" s="2">
        <v>1266</v>
      </c>
      <c r="Q46" s="2">
        <v>2320</v>
      </c>
      <c r="R46" s="2">
        <v>2108</v>
      </c>
      <c r="S46" s="2">
        <v>2532</v>
      </c>
      <c r="T46" s="2">
        <v>4640</v>
      </c>
      <c r="V46" t="str">
        <f>_xlfn.CONCAT(B46, ": ",P46," ", M46,"-",TEXT(C46,"mm/dd/yyyy"))</f>
        <v>12/14/2021: 1266 Mountain-200 Silver, 38-01/14/1900</v>
      </c>
    </row>
    <row r="47" spans="1:25" x14ac:dyDescent="0.35">
      <c r="A47">
        <v>261740</v>
      </c>
      <c r="B47" t="s">
        <v>59</v>
      </c>
      <c r="C47">
        <v>14</v>
      </c>
      <c r="D47" t="s">
        <v>19</v>
      </c>
      <c r="E47">
        <v>2021</v>
      </c>
      <c r="F47">
        <v>32</v>
      </c>
      <c r="G47" t="s">
        <v>32</v>
      </c>
      <c r="H47" t="s">
        <v>27</v>
      </c>
      <c r="I47" t="s">
        <v>22</v>
      </c>
      <c r="J47" t="s">
        <v>23</v>
      </c>
      <c r="K47" t="s">
        <v>24</v>
      </c>
      <c r="L47" t="s">
        <v>25</v>
      </c>
      <c r="M47" t="s">
        <v>26</v>
      </c>
      <c r="N47">
        <v>1</v>
      </c>
      <c r="P47" s="2">
        <v>1252</v>
      </c>
      <c r="Q47" s="2">
        <v>2295</v>
      </c>
      <c r="R47" s="2">
        <v>1043</v>
      </c>
      <c r="S47" s="2">
        <v>1252</v>
      </c>
      <c r="T47" s="2">
        <v>2295</v>
      </c>
      <c r="V47" t="str">
        <f>_xlfn.CONCAT(B47, ": ",P47," ", M47,"-",TEXT(C47,"mm/dd/yyyy"))</f>
        <v>12/14/2021: 1252 Mountain-200 Black, 46-01/14/1900</v>
      </c>
    </row>
    <row r="48" spans="1:25" x14ac:dyDescent="0.35">
      <c r="A48">
        <v>261741</v>
      </c>
      <c r="B48" t="s">
        <v>59</v>
      </c>
      <c r="C48">
        <v>14</v>
      </c>
      <c r="D48" t="s">
        <v>19</v>
      </c>
      <c r="E48">
        <v>2021</v>
      </c>
      <c r="F48">
        <v>32</v>
      </c>
      <c r="G48" t="s">
        <v>32</v>
      </c>
      <c r="H48" t="s">
        <v>21</v>
      </c>
      <c r="I48" t="s">
        <v>33</v>
      </c>
      <c r="J48" t="s">
        <v>50</v>
      </c>
      <c r="K48" t="s">
        <v>24</v>
      </c>
      <c r="L48" t="s">
        <v>25</v>
      </c>
      <c r="M48" t="s">
        <v>31</v>
      </c>
      <c r="N48">
        <v>1</v>
      </c>
      <c r="P48" s="2">
        <v>420</v>
      </c>
      <c r="Q48" s="2">
        <v>769</v>
      </c>
      <c r="R48" s="2">
        <v>349</v>
      </c>
      <c r="S48" s="2">
        <v>420</v>
      </c>
      <c r="T48" s="2">
        <v>769</v>
      </c>
      <c r="V48" t="str">
        <f>_xlfn.CONCAT(B48, ": ",P48," ", M48,"-",TEXT(C48,"mm/dd/yyyy"))</f>
        <v>12/14/2021: 420 Mountain-400-W Silver, 46-01/14/1900</v>
      </c>
    </row>
    <row r="49" spans="1:22" x14ac:dyDescent="0.35">
      <c r="A49">
        <v>261742</v>
      </c>
      <c r="B49" t="s">
        <v>60</v>
      </c>
      <c r="C49">
        <v>15</v>
      </c>
      <c r="D49" t="s">
        <v>19</v>
      </c>
      <c r="E49">
        <v>2021</v>
      </c>
      <c r="F49">
        <v>29</v>
      </c>
      <c r="G49" t="s">
        <v>32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30</v>
      </c>
      <c r="N49">
        <v>1</v>
      </c>
      <c r="P49" s="2">
        <v>1266</v>
      </c>
      <c r="Q49" s="2">
        <v>2320</v>
      </c>
      <c r="R49" s="2">
        <v>1054</v>
      </c>
      <c r="S49" s="2">
        <v>1266</v>
      </c>
      <c r="T49" s="2">
        <v>2320</v>
      </c>
      <c r="V49" t="str">
        <f>_xlfn.CONCAT(B49, ": ",P49," ", M49,"-",TEXT(C49,"mm/dd/yyyy"))</f>
        <v>12/15/2021: 1266 Mountain-200 Silver, 42-01/15/1900</v>
      </c>
    </row>
    <row r="50" spans="1:22" x14ac:dyDescent="0.35">
      <c r="A50">
        <v>261743</v>
      </c>
      <c r="B50" t="s">
        <v>61</v>
      </c>
      <c r="C50">
        <v>16</v>
      </c>
      <c r="D50" t="s">
        <v>19</v>
      </c>
      <c r="E50">
        <v>2021</v>
      </c>
      <c r="F50">
        <v>33</v>
      </c>
      <c r="G50" t="s">
        <v>32</v>
      </c>
      <c r="H50" t="s">
        <v>21</v>
      </c>
      <c r="I50" t="s">
        <v>33</v>
      </c>
      <c r="J50" t="s">
        <v>34</v>
      </c>
      <c r="K50" t="s">
        <v>24</v>
      </c>
      <c r="L50" t="s">
        <v>25</v>
      </c>
      <c r="M50" t="s">
        <v>37</v>
      </c>
      <c r="N50">
        <v>2</v>
      </c>
      <c r="P50" s="2">
        <v>1252</v>
      </c>
      <c r="Q50" s="2">
        <v>2295</v>
      </c>
      <c r="R50" s="2">
        <v>2086</v>
      </c>
      <c r="S50" s="2">
        <v>2504</v>
      </c>
      <c r="T50" s="2">
        <v>4590</v>
      </c>
      <c r="V50" t="str">
        <f>_xlfn.CONCAT(B50, ": ",P50," ", M50,"-",TEXT(C50,"mm/dd/yyyy"))</f>
        <v>12/16/2021: 1252 Mountain-200 Black, 38-01/16/1900</v>
      </c>
    </row>
    <row r="51" spans="1:22" x14ac:dyDescent="0.35">
      <c r="A51">
        <v>261744</v>
      </c>
      <c r="B51" t="s">
        <v>61</v>
      </c>
      <c r="C51">
        <v>16</v>
      </c>
      <c r="D51" t="s">
        <v>19</v>
      </c>
      <c r="E51">
        <v>2021</v>
      </c>
      <c r="F51">
        <v>38</v>
      </c>
      <c r="G51" t="s">
        <v>20</v>
      </c>
      <c r="H51" t="s">
        <v>27</v>
      </c>
      <c r="I51" t="s">
        <v>33</v>
      </c>
      <c r="J51" t="s">
        <v>34</v>
      </c>
      <c r="K51" t="s">
        <v>24</v>
      </c>
      <c r="L51" t="s">
        <v>25</v>
      </c>
      <c r="M51" t="s">
        <v>37</v>
      </c>
      <c r="N51">
        <v>2</v>
      </c>
      <c r="P51" s="2">
        <v>1252</v>
      </c>
      <c r="Q51" s="2">
        <v>2295</v>
      </c>
      <c r="R51" s="2">
        <v>2086</v>
      </c>
      <c r="S51" s="2">
        <v>2504</v>
      </c>
      <c r="T51" s="2">
        <v>4590</v>
      </c>
      <c r="V51" t="str">
        <f>_xlfn.CONCAT(B51, ": ",P51," ", M51,"-",TEXT(C51,"mm/dd/yyyy"))</f>
        <v>12/16/2021: 1252 Mountain-200 Black, 38-01/16/1900</v>
      </c>
    </row>
    <row r="52" spans="1:22" x14ac:dyDescent="0.35">
      <c r="A52">
        <v>261745</v>
      </c>
      <c r="B52" t="s">
        <v>61</v>
      </c>
      <c r="C52">
        <v>16</v>
      </c>
      <c r="D52" t="s">
        <v>19</v>
      </c>
      <c r="E52">
        <v>2021</v>
      </c>
      <c r="F52">
        <v>27</v>
      </c>
      <c r="G52" t="s">
        <v>32</v>
      </c>
      <c r="H52" t="s">
        <v>21</v>
      </c>
      <c r="I52" t="s">
        <v>55</v>
      </c>
      <c r="J52" t="s">
        <v>62</v>
      </c>
      <c r="K52" t="s">
        <v>24</v>
      </c>
      <c r="L52" t="s">
        <v>25</v>
      </c>
      <c r="M52" t="s">
        <v>63</v>
      </c>
      <c r="N52">
        <v>1</v>
      </c>
      <c r="P52" s="2">
        <v>1266</v>
      </c>
      <c r="Q52" s="2">
        <v>2320</v>
      </c>
      <c r="R52" s="2">
        <v>1054</v>
      </c>
      <c r="S52" s="2">
        <v>1266</v>
      </c>
      <c r="T52" s="2">
        <v>2320</v>
      </c>
      <c r="V52" t="str">
        <f>_xlfn.CONCAT(B52, ": ",P52," ", M52,"-",TEXT(C52,"mm/dd/yyyy"))</f>
        <v>12/16/2021: 1266 Mountain-200 Silver, 46-01/16/1900</v>
      </c>
    </row>
    <row r="53" spans="1:22" x14ac:dyDescent="0.35">
      <c r="A53">
        <v>261746</v>
      </c>
      <c r="B53" t="s">
        <v>64</v>
      </c>
      <c r="C53">
        <v>17</v>
      </c>
      <c r="D53" t="s">
        <v>19</v>
      </c>
      <c r="E53">
        <v>2021</v>
      </c>
      <c r="F53">
        <v>37</v>
      </c>
      <c r="G53" t="s">
        <v>20</v>
      </c>
      <c r="H53" t="s">
        <v>21</v>
      </c>
      <c r="I53" t="s">
        <v>22</v>
      </c>
      <c r="J53" t="s">
        <v>38</v>
      </c>
      <c r="K53" t="s">
        <v>24</v>
      </c>
      <c r="L53" t="s">
        <v>25</v>
      </c>
      <c r="M53" t="s">
        <v>42</v>
      </c>
      <c r="N53">
        <v>2</v>
      </c>
      <c r="P53" s="2">
        <v>1266</v>
      </c>
      <c r="Q53" s="2">
        <v>2320</v>
      </c>
      <c r="R53" s="2">
        <v>2108</v>
      </c>
      <c r="S53" s="2">
        <v>2532</v>
      </c>
      <c r="T53" s="2">
        <v>4640</v>
      </c>
      <c r="V53" t="str">
        <f>_xlfn.CONCAT(B53, ": ",P53," ", M53,"-",TEXT(C53,"mm/dd/yyyy"))</f>
        <v>12/17/2021: 1266 Mountain-200 Silver, 38-01/17/1900</v>
      </c>
    </row>
    <row r="54" spans="1:22" x14ac:dyDescent="0.35">
      <c r="A54">
        <v>261747</v>
      </c>
      <c r="B54" t="s">
        <v>64</v>
      </c>
      <c r="C54">
        <v>17</v>
      </c>
      <c r="D54" t="s">
        <v>19</v>
      </c>
      <c r="E54">
        <v>2021</v>
      </c>
      <c r="F54">
        <v>31</v>
      </c>
      <c r="G54" t="s">
        <v>32</v>
      </c>
      <c r="H54" t="s">
        <v>27</v>
      </c>
      <c r="I54" t="s">
        <v>33</v>
      </c>
      <c r="J54" t="s">
        <v>34</v>
      </c>
      <c r="K54" t="s">
        <v>24</v>
      </c>
      <c r="L54" t="s">
        <v>25</v>
      </c>
      <c r="M54" t="s">
        <v>35</v>
      </c>
      <c r="N54">
        <v>1</v>
      </c>
      <c r="P54" s="2">
        <v>420</v>
      </c>
      <c r="Q54" s="2">
        <v>769</v>
      </c>
      <c r="R54" s="2">
        <v>349</v>
      </c>
      <c r="S54" s="2">
        <v>420</v>
      </c>
      <c r="T54" s="2">
        <v>769</v>
      </c>
      <c r="V54" t="str">
        <f>_xlfn.CONCAT(B54, ": ",P54," ", M54,"-",TEXT(C54,"mm/dd/yyyy"))</f>
        <v>12/17/2021: 420 Mountain-400-W Silver, 42-01/17/1900</v>
      </c>
    </row>
    <row r="55" spans="1:22" x14ac:dyDescent="0.35">
      <c r="A55">
        <v>261748</v>
      </c>
      <c r="B55" t="s">
        <v>64</v>
      </c>
      <c r="C55">
        <v>17</v>
      </c>
      <c r="D55" t="s">
        <v>19</v>
      </c>
      <c r="E55">
        <v>2021</v>
      </c>
      <c r="F55">
        <v>42</v>
      </c>
      <c r="G55" t="s">
        <v>20</v>
      </c>
      <c r="H55" t="s">
        <v>21</v>
      </c>
      <c r="I55" t="s">
        <v>39</v>
      </c>
      <c r="J55" t="s">
        <v>40</v>
      </c>
      <c r="K55" t="s">
        <v>24</v>
      </c>
      <c r="L55" t="s">
        <v>25</v>
      </c>
      <c r="M55" t="s">
        <v>63</v>
      </c>
      <c r="N55">
        <v>1</v>
      </c>
      <c r="P55" s="2">
        <v>1266</v>
      </c>
      <c r="Q55" s="2">
        <v>2320</v>
      </c>
      <c r="R55" s="2">
        <v>1054</v>
      </c>
      <c r="S55" s="2">
        <v>1266</v>
      </c>
      <c r="T55" s="2">
        <v>2320</v>
      </c>
      <c r="V55" t="str">
        <f>_xlfn.CONCAT(B55, ": ",P55," ", M55,"-",TEXT(C55,"mm/dd/yyyy"))</f>
        <v>12/17/2021: 1266 Mountain-200 Silver, 46-01/17/1900</v>
      </c>
    </row>
    <row r="56" spans="1:22" x14ac:dyDescent="0.35">
      <c r="A56">
        <v>261749</v>
      </c>
      <c r="B56" t="s">
        <v>65</v>
      </c>
      <c r="C56">
        <v>18</v>
      </c>
      <c r="D56" t="s">
        <v>19</v>
      </c>
      <c r="E56">
        <v>2021</v>
      </c>
      <c r="F56">
        <v>35</v>
      </c>
      <c r="G56" t="s">
        <v>20</v>
      </c>
      <c r="H56" t="s">
        <v>21</v>
      </c>
      <c r="I56" t="s">
        <v>33</v>
      </c>
      <c r="J56" t="s">
        <v>34</v>
      </c>
      <c r="K56" t="s">
        <v>24</v>
      </c>
      <c r="L56" t="s">
        <v>25</v>
      </c>
      <c r="M56" t="s">
        <v>47</v>
      </c>
      <c r="N56">
        <v>4</v>
      </c>
      <c r="P56" s="2">
        <v>308</v>
      </c>
      <c r="Q56" s="2">
        <v>565</v>
      </c>
      <c r="R56" s="2">
        <v>1028</v>
      </c>
      <c r="S56" s="2">
        <v>1232</v>
      </c>
      <c r="T56" s="2">
        <v>2260</v>
      </c>
      <c r="V56" t="str">
        <f>_xlfn.CONCAT(B56, ": ",P56," ", M56,"-",TEXT(C56,"mm/dd/yyyy"))</f>
        <v>12/18/2021: 308 Mountain-500 Silver, 42-01/18/1900</v>
      </c>
    </row>
    <row r="57" spans="1:22" x14ac:dyDescent="0.35">
      <c r="A57">
        <v>261750</v>
      </c>
      <c r="B57" t="s">
        <v>65</v>
      </c>
      <c r="C57">
        <v>18</v>
      </c>
      <c r="D57" t="s">
        <v>19</v>
      </c>
      <c r="E57">
        <v>2021</v>
      </c>
      <c r="F57">
        <v>38</v>
      </c>
      <c r="G57" t="s">
        <v>20</v>
      </c>
      <c r="H57" t="s">
        <v>21</v>
      </c>
      <c r="I57" t="s">
        <v>39</v>
      </c>
      <c r="J57" t="s">
        <v>40</v>
      </c>
      <c r="K57" t="s">
        <v>24</v>
      </c>
      <c r="L57" t="s">
        <v>25</v>
      </c>
      <c r="M57" t="s">
        <v>63</v>
      </c>
      <c r="N57">
        <v>4</v>
      </c>
      <c r="P57" s="2">
        <v>1266</v>
      </c>
      <c r="Q57" s="2">
        <v>2320</v>
      </c>
      <c r="R57" s="2">
        <v>4216</v>
      </c>
      <c r="S57" s="2">
        <v>5064</v>
      </c>
      <c r="T57" s="2">
        <v>9280</v>
      </c>
      <c r="V57" t="str">
        <f>_xlfn.CONCAT(B57, ": ",P57," ", M57,"-",TEXT(C57,"mm/dd/yyyy"))</f>
        <v>12/18/2021: 1266 Mountain-200 Silver, 46-01/18/1900</v>
      </c>
    </row>
    <row r="58" spans="1:22" x14ac:dyDescent="0.35">
      <c r="A58">
        <v>261751</v>
      </c>
      <c r="B58" t="s">
        <v>65</v>
      </c>
      <c r="C58">
        <v>18</v>
      </c>
      <c r="D58" t="s">
        <v>19</v>
      </c>
      <c r="E58">
        <v>2021</v>
      </c>
      <c r="F58">
        <v>24</v>
      </c>
      <c r="G58" t="s">
        <v>36</v>
      </c>
      <c r="H58" t="s">
        <v>21</v>
      </c>
      <c r="I58" t="s">
        <v>55</v>
      </c>
      <c r="J58" t="s">
        <v>66</v>
      </c>
      <c r="K58" t="s">
        <v>24</v>
      </c>
      <c r="L58" t="s">
        <v>25</v>
      </c>
      <c r="M58" t="s">
        <v>42</v>
      </c>
      <c r="N58">
        <v>3</v>
      </c>
      <c r="P58" s="2">
        <v>1266</v>
      </c>
      <c r="Q58" s="2">
        <v>2320</v>
      </c>
      <c r="R58" s="2">
        <v>3162</v>
      </c>
      <c r="S58" s="2">
        <v>3798</v>
      </c>
      <c r="T58" s="2">
        <v>6960</v>
      </c>
      <c r="V58" t="str">
        <f>_xlfn.CONCAT(B58, ": ",P58," ", M58,"-",TEXT(C58,"mm/dd/yyyy"))</f>
        <v>12/18/2021: 1266 Mountain-200 Silver, 38-01/18/1900</v>
      </c>
    </row>
    <row r="59" spans="1:22" x14ac:dyDescent="0.35">
      <c r="A59">
        <v>261752</v>
      </c>
      <c r="B59" t="s">
        <v>65</v>
      </c>
      <c r="C59">
        <v>18</v>
      </c>
      <c r="D59" t="s">
        <v>19</v>
      </c>
      <c r="E59">
        <v>2021</v>
      </c>
      <c r="F59">
        <v>26</v>
      </c>
      <c r="G59" t="s">
        <v>32</v>
      </c>
      <c r="H59" t="s">
        <v>21</v>
      </c>
      <c r="I59" t="s">
        <v>28</v>
      </c>
      <c r="J59" t="s">
        <v>29</v>
      </c>
      <c r="K59" t="s">
        <v>24</v>
      </c>
      <c r="L59" t="s">
        <v>25</v>
      </c>
      <c r="M59" t="s">
        <v>35</v>
      </c>
      <c r="N59">
        <v>3</v>
      </c>
      <c r="P59" s="2">
        <v>420</v>
      </c>
      <c r="Q59" s="2">
        <v>769</v>
      </c>
      <c r="R59" s="2">
        <v>1047</v>
      </c>
      <c r="S59" s="2">
        <v>1260</v>
      </c>
      <c r="T59" s="2">
        <v>2307</v>
      </c>
      <c r="V59" t="str">
        <f>_xlfn.CONCAT(B59, ": ",P59," ", M59,"-",TEXT(C59,"mm/dd/yyyy"))</f>
        <v>12/18/2021: 420 Mountain-400-W Silver, 42-01/18/1900</v>
      </c>
    </row>
    <row r="60" spans="1:22" x14ac:dyDescent="0.35">
      <c r="A60">
        <v>261753</v>
      </c>
      <c r="B60" t="s">
        <v>65</v>
      </c>
      <c r="C60">
        <v>18</v>
      </c>
      <c r="D60" t="s">
        <v>19</v>
      </c>
      <c r="E60">
        <v>2021</v>
      </c>
      <c r="F60">
        <v>39</v>
      </c>
      <c r="G60" t="s">
        <v>20</v>
      </c>
      <c r="H60" t="s">
        <v>27</v>
      </c>
      <c r="I60" t="s">
        <v>22</v>
      </c>
      <c r="J60" t="s">
        <v>23</v>
      </c>
      <c r="K60" t="s">
        <v>24</v>
      </c>
      <c r="L60" t="s">
        <v>25</v>
      </c>
      <c r="M60" t="s">
        <v>45</v>
      </c>
      <c r="N60">
        <v>3</v>
      </c>
      <c r="P60" s="2">
        <v>1252</v>
      </c>
      <c r="Q60" s="2">
        <v>2295</v>
      </c>
      <c r="R60" s="2">
        <v>3129</v>
      </c>
      <c r="S60" s="2">
        <v>3756</v>
      </c>
      <c r="T60" s="2">
        <v>6885</v>
      </c>
      <c r="V60" t="str">
        <f>_xlfn.CONCAT(B60, ": ",P60," ", M60,"-",TEXT(C60,"mm/dd/yyyy"))</f>
        <v>12/18/2021: 1252 Mountain-200 Black, 42-01/18/1900</v>
      </c>
    </row>
    <row r="61" spans="1:22" x14ac:dyDescent="0.35">
      <c r="A61">
        <v>261754</v>
      </c>
      <c r="B61" t="s">
        <v>65</v>
      </c>
      <c r="C61">
        <v>18</v>
      </c>
      <c r="D61" t="s">
        <v>19</v>
      </c>
      <c r="E61">
        <v>2021</v>
      </c>
      <c r="F61">
        <v>26</v>
      </c>
      <c r="G61" t="s">
        <v>32</v>
      </c>
      <c r="H61" t="s">
        <v>27</v>
      </c>
      <c r="I61" t="s">
        <v>55</v>
      </c>
      <c r="J61" t="s">
        <v>56</v>
      </c>
      <c r="K61" t="s">
        <v>24</v>
      </c>
      <c r="L61" t="s">
        <v>25</v>
      </c>
      <c r="M61" t="s">
        <v>26</v>
      </c>
      <c r="N61">
        <v>1</v>
      </c>
      <c r="P61" s="2">
        <v>1252</v>
      </c>
      <c r="Q61" s="2">
        <v>2295</v>
      </c>
      <c r="R61" s="2">
        <v>1043</v>
      </c>
      <c r="S61" s="2">
        <v>1252</v>
      </c>
      <c r="T61" s="2">
        <v>2295</v>
      </c>
      <c r="V61" t="str">
        <f>_xlfn.CONCAT(B61, ": ",P61," ", M61,"-",TEXT(C61,"mm/dd/yyyy"))</f>
        <v>12/18/2021: 1252 Mountain-200 Black, 46-01/18/1900</v>
      </c>
    </row>
    <row r="62" spans="1:22" x14ac:dyDescent="0.35">
      <c r="A62">
        <v>261755</v>
      </c>
      <c r="B62" t="s">
        <v>65</v>
      </c>
      <c r="C62">
        <v>18</v>
      </c>
      <c r="D62" t="s">
        <v>19</v>
      </c>
      <c r="E62">
        <v>2021</v>
      </c>
      <c r="F62">
        <v>36</v>
      </c>
      <c r="G62" t="s">
        <v>20</v>
      </c>
      <c r="H62" t="s">
        <v>27</v>
      </c>
      <c r="I62" t="s">
        <v>22</v>
      </c>
      <c r="J62" t="s">
        <v>38</v>
      </c>
      <c r="K62" t="s">
        <v>24</v>
      </c>
      <c r="L62" t="s">
        <v>25</v>
      </c>
      <c r="M62" t="s">
        <v>42</v>
      </c>
      <c r="N62">
        <v>1</v>
      </c>
      <c r="P62" s="2">
        <v>1266</v>
      </c>
      <c r="Q62" s="2">
        <v>2320</v>
      </c>
      <c r="R62" s="2">
        <v>1054</v>
      </c>
      <c r="S62" s="2">
        <v>1266</v>
      </c>
      <c r="T62" s="2">
        <v>2320</v>
      </c>
      <c r="V62" t="str">
        <f>_xlfn.CONCAT(B62, ": ",P62," ", M62,"-",TEXT(C62,"mm/dd/yyyy"))</f>
        <v>12/18/2021: 1266 Mountain-200 Silver, 38-01/18/1900</v>
      </c>
    </row>
    <row r="63" spans="1:22" x14ac:dyDescent="0.35">
      <c r="A63">
        <v>261756</v>
      </c>
      <c r="B63" t="s">
        <v>67</v>
      </c>
      <c r="C63">
        <v>19</v>
      </c>
      <c r="D63" t="s">
        <v>19</v>
      </c>
      <c r="E63">
        <v>2021</v>
      </c>
      <c r="F63">
        <v>17</v>
      </c>
      <c r="G63" t="s">
        <v>36</v>
      </c>
      <c r="H63" t="s">
        <v>27</v>
      </c>
      <c r="I63" t="s">
        <v>55</v>
      </c>
      <c r="J63" t="s">
        <v>68</v>
      </c>
      <c r="K63" t="s">
        <v>24</v>
      </c>
      <c r="L63" t="s">
        <v>25</v>
      </c>
      <c r="M63" t="s">
        <v>63</v>
      </c>
      <c r="N63">
        <v>4</v>
      </c>
      <c r="P63" s="2">
        <v>1266</v>
      </c>
      <c r="Q63" s="2">
        <v>2320</v>
      </c>
      <c r="R63" s="2">
        <v>4216</v>
      </c>
      <c r="S63" s="2">
        <v>5064</v>
      </c>
      <c r="T63" s="2">
        <v>9280</v>
      </c>
      <c r="V63" t="str">
        <f>_xlfn.CONCAT(B63, ": ",P63," ", M63,"-",TEXT(C63,"mm/dd/yyyy"))</f>
        <v>12/19/2021: 1266 Mountain-200 Silver, 46-01/19/1900</v>
      </c>
    </row>
    <row r="64" spans="1:22" x14ac:dyDescent="0.35">
      <c r="A64">
        <v>261757</v>
      </c>
      <c r="B64" t="s">
        <v>67</v>
      </c>
      <c r="C64">
        <v>19</v>
      </c>
      <c r="D64" t="s">
        <v>19</v>
      </c>
      <c r="E64">
        <v>2021</v>
      </c>
      <c r="F64">
        <v>19</v>
      </c>
      <c r="G64" t="s">
        <v>36</v>
      </c>
      <c r="H64" t="s">
        <v>21</v>
      </c>
      <c r="I64" t="s">
        <v>33</v>
      </c>
      <c r="J64" t="s">
        <v>50</v>
      </c>
      <c r="K64" t="s">
        <v>24</v>
      </c>
      <c r="L64" t="s">
        <v>25</v>
      </c>
      <c r="M64" t="s">
        <v>69</v>
      </c>
      <c r="N64">
        <v>4</v>
      </c>
      <c r="P64" s="2">
        <v>295</v>
      </c>
      <c r="Q64" s="2">
        <v>540</v>
      </c>
      <c r="R64" s="2">
        <v>980</v>
      </c>
      <c r="S64" s="2">
        <v>1180</v>
      </c>
      <c r="T64" s="2">
        <v>2160</v>
      </c>
      <c r="V64" t="str">
        <f>_xlfn.CONCAT(B64, ": ",P64," ", M64,"-",TEXT(C64,"mm/dd/yyyy"))</f>
        <v>12/19/2021: 295 Mountain-500 Black, 44-01/19/1900</v>
      </c>
    </row>
    <row r="65" spans="1:22" x14ac:dyDescent="0.35">
      <c r="A65">
        <v>261758</v>
      </c>
      <c r="B65" t="s">
        <v>67</v>
      </c>
      <c r="C65">
        <v>19</v>
      </c>
      <c r="D65" t="s">
        <v>19</v>
      </c>
      <c r="E65">
        <v>2021</v>
      </c>
      <c r="F65">
        <v>25</v>
      </c>
      <c r="G65" t="s">
        <v>32</v>
      </c>
      <c r="H65" t="s">
        <v>27</v>
      </c>
      <c r="I65" t="s">
        <v>55</v>
      </c>
      <c r="J65" t="s">
        <v>56</v>
      </c>
      <c r="K65" t="s">
        <v>24</v>
      </c>
      <c r="L65" t="s">
        <v>25</v>
      </c>
      <c r="M65" t="s">
        <v>37</v>
      </c>
      <c r="N65">
        <v>4</v>
      </c>
      <c r="P65" s="2">
        <v>1252</v>
      </c>
      <c r="Q65" s="2">
        <v>2295</v>
      </c>
      <c r="R65" s="2">
        <v>4172</v>
      </c>
      <c r="S65" s="2">
        <v>5008</v>
      </c>
      <c r="T65" s="2">
        <v>9180</v>
      </c>
      <c r="V65" t="str">
        <f>_xlfn.CONCAT(B65, ": ",P65," ", M65,"-",TEXT(C65,"mm/dd/yyyy"))</f>
        <v>12/19/2021: 1252 Mountain-200 Black, 38-01/19/1900</v>
      </c>
    </row>
    <row r="66" spans="1:22" x14ac:dyDescent="0.35">
      <c r="A66">
        <v>261759</v>
      </c>
      <c r="B66" t="s">
        <v>67</v>
      </c>
      <c r="C66">
        <v>19</v>
      </c>
      <c r="D66" t="s">
        <v>19</v>
      </c>
      <c r="E66">
        <v>2021</v>
      </c>
      <c r="F66">
        <v>35</v>
      </c>
      <c r="G66" t="s">
        <v>20</v>
      </c>
      <c r="H66" t="s">
        <v>21</v>
      </c>
      <c r="I66" t="s">
        <v>22</v>
      </c>
      <c r="J66" t="s">
        <v>48</v>
      </c>
      <c r="K66" t="s">
        <v>24</v>
      </c>
      <c r="L66" t="s">
        <v>25</v>
      </c>
      <c r="M66" t="s">
        <v>70</v>
      </c>
      <c r="N66">
        <v>4</v>
      </c>
      <c r="P66" s="2">
        <v>1898</v>
      </c>
      <c r="Q66" s="2">
        <v>3375</v>
      </c>
      <c r="R66" s="2">
        <v>5908</v>
      </c>
      <c r="S66" s="2">
        <v>7592</v>
      </c>
      <c r="T66" s="2">
        <v>13500</v>
      </c>
      <c r="V66" t="str">
        <f>_xlfn.CONCAT(B66, ": ",P66," ", M66,"-",TEXT(C66,"mm/dd/yyyy"))</f>
        <v>12/19/2021: 1898 Mountain-100 Black, 48-01/19/1900</v>
      </c>
    </row>
    <row r="67" spans="1:22" x14ac:dyDescent="0.35">
      <c r="A67">
        <v>261760</v>
      </c>
      <c r="B67" t="s">
        <v>67</v>
      </c>
      <c r="C67">
        <v>19</v>
      </c>
      <c r="D67" t="s">
        <v>19</v>
      </c>
      <c r="E67">
        <v>2021</v>
      </c>
      <c r="F67">
        <v>37</v>
      </c>
      <c r="G67" t="s">
        <v>20</v>
      </c>
      <c r="H67" t="s">
        <v>27</v>
      </c>
      <c r="I67" t="s">
        <v>22</v>
      </c>
      <c r="J67" t="s">
        <v>48</v>
      </c>
      <c r="K67" t="s">
        <v>24</v>
      </c>
      <c r="L67" t="s">
        <v>25</v>
      </c>
      <c r="M67" t="s">
        <v>37</v>
      </c>
      <c r="N67">
        <v>4</v>
      </c>
      <c r="P67" s="2">
        <v>1252</v>
      </c>
      <c r="Q67" s="2">
        <v>2295</v>
      </c>
      <c r="R67" s="2">
        <v>4172</v>
      </c>
      <c r="S67" s="2">
        <v>5008</v>
      </c>
      <c r="T67" s="2">
        <v>9180</v>
      </c>
      <c r="V67" t="str">
        <f>_xlfn.CONCAT(B67, ": ",P67," ", M67,"-",TEXT(C67,"mm/dd/yyyy"))</f>
        <v>12/19/2021: 1252 Mountain-200 Black, 38-01/19/1900</v>
      </c>
    </row>
    <row r="68" spans="1:22" x14ac:dyDescent="0.35">
      <c r="A68">
        <v>261761</v>
      </c>
      <c r="B68" t="s">
        <v>67</v>
      </c>
      <c r="C68">
        <v>19</v>
      </c>
      <c r="D68" t="s">
        <v>19</v>
      </c>
      <c r="E68">
        <v>2021</v>
      </c>
      <c r="F68">
        <v>39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26</v>
      </c>
      <c r="N68">
        <v>4</v>
      </c>
      <c r="P68" s="2">
        <v>1252</v>
      </c>
      <c r="Q68" s="2">
        <v>2295</v>
      </c>
      <c r="R68" s="2">
        <v>4172</v>
      </c>
      <c r="S68" s="2">
        <v>5008</v>
      </c>
      <c r="T68" s="2">
        <v>9180</v>
      </c>
      <c r="V68" t="str">
        <f>_xlfn.CONCAT(B68, ": ",P68," ", M68,"-",TEXT(C68,"mm/dd/yyyy"))</f>
        <v>12/19/2021: 1252 Mountain-200 Black, 46-01/19/1900</v>
      </c>
    </row>
    <row r="69" spans="1:22" x14ac:dyDescent="0.35">
      <c r="A69">
        <v>261762</v>
      </c>
      <c r="B69" t="s">
        <v>67</v>
      </c>
      <c r="C69">
        <v>19</v>
      </c>
      <c r="D69" t="s">
        <v>19</v>
      </c>
      <c r="E69">
        <v>2021</v>
      </c>
      <c r="F69">
        <v>63</v>
      </c>
      <c r="G69" t="s">
        <v>20</v>
      </c>
      <c r="H69" t="s">
        <v>21</v>
      </c>
      <c r="I69" t="s">
        <v>33</v>
      </c>
      <c r="J69" t="s">
        <v>41</v>
      </c>
      <c r="K69" t="s">
        <v>24</v>
      </c>
      <c r="L69" t="s">
        <v>25</v>
      </c>
      <c r="M69" t="s">
        <v>26</v>
      </c>
      <c r="N69">
        <v>4</v>
      </c>
      <c r="P69" s="2">
        <v>1252</v>
      </c>
      <c r="Q69" s="2">
        <v>2295</v>
      </c>
      <c r="R69" s="2">
        <v>4172</v>
      </c>
      <c r="S69" s="2">
        <v>5008</v>
      </c>
      <c r="T69" s="2">
        <v>9180</v>
      </c>
      <c r="V69" t="str">
        <f>_xlfn.CONCAT(B69, ": ",P69," ", M69,"-",TEXT(C69,"mm/dd/yyyy"))</f>
        <v>12/19/2021: 1252 Mountain-200 Black, 46-01/19/1900</v>
      </c>
    </row>
    <row r="70" spans="1:22" x14ac:dyDescent="0.35">
      <c r="A70">
        <v>261763</v>
      </c>
      <c r="B70" t="s">
        <v>67</v>
      </c>
      <c r="C70">
        <v>19</v>
      </c>
      <c r="D70" t="s">
        <v>19</v>
      </c>
      <c r="E70">
        <v>2021</v>
      </c>
      <c r="F70">
        <v>18</v>
      </c>
      <c r="G70" t="s">
        <v>36</v>
      </c>
      <c r="H70" t="s">
        <v>27</v>
      </c>
      <c r="I70" t="s">
        <v>33</v>
      </c>
      <c r="J70" t="s">
        <v>71</v>
      </c>
      <c r="K70" t="s">
        <v>24</v>
      </c>
      <c r="L70" t="s">
        <v>25</v>
      </c>
      <c r="M70" t="s">
        <v>53</v>
      </c>
      <c r="N70">
        <v>2</v>
      </c>
      <c r="P70" s="2">
        <v>295</v>
      </c>
      <c r="Q70" s="2">
        <v>540</v>
      </c>
      <c r="R70" s="2">
        <v>490</v>
      </c>
      <c r="S70" s="2">
        <v>590</v>
      </c>
      <c r="T70" s="2">
        <v>1080</v>
      </c>
      <c r="V70" t="str">
        <f>_xlfn.CONCAT(B70, ": ",P70," ", M70,"-",TEXT(C70,"mm/dd/yyyy"))</f>
        <v>12/19/2021: 295 Mountain-500 Black, 40-01/19/1900</v>
      </c>
    </row>
    <row r="71" spans="1:22" x14ac:dyDescent="0.35">
      <c r="A71">
        <v>261764</v>
      </c>
      <c r="B71" t="s">
        <v>67</v>
      </c>
      <c r="C71">
        <v>19</v>
      </c>
      <c r="D71" t="s">
        <v>19</v>
      </c>
      <c r="E71">
        <v>2021</v>
      </c>
      <c r="F71">
        <v>56</v>
      </c>
      <c r="G71" t="s">
        <v>20</v>
      </c>
      <c r="H71" t="s">
        <v>21</v>
      </c>
      <c r="I71" t="s">
        <v>39</v>
      </c>
      <c r="J71" t="s">
        <v>72</v>
      </c>
      <c r="K71" t="s">
        <v>24</v>
      </c>
      <c r="L71" t="s">
        <v>25</v>
      </c>
      <c r="M71" t="s">
        <v>26</v>
      </c>
      <c r="N71">
        <v>2</v>
      </c>
      <c r="P71" s="2">
        <v>1252</v>
      </c>
      <c r="Q71" s="2">
        <v>2295</v>
      </c>
      <c r="R71" s="2">
        <v>2086</v>
      </c>
      <c r="S71" s="2">
        <v>2504</v>
      </c>
      <c r="T71" s="2">
        <v>4590</v>
      </c>
      <c r="V71" t="str">
        <f>_xlfn.CONCAT(B71, ": ",P71," ", M71,"-",TEXT(C71,"mm/dd/yyyy"))</f>
        <v>12/19/2021: 1252 Mountain-200 Black, 46-01/19/1900</v>
      </c>
    </row>
    <row r="72" spans="1:22" x14ac:dyDescent="0.35">
      <c r="A72">
        <v>261765</v>
      </c>
      <c r="B72" t="s">
        <v>67</v>
      </c>
      <c r="C72">
        <v>19</v>
      </c>
      <c r="D72" t="s">
        <v>19</v>
      </c>
      <c r="E72">
        <v>2021</v>
      </c>
      <c r="F72">
        <v>39</v>
      </c>
      <c r="G72" t="s">
        <v>20</v>
      </c>
      <c r="H72" t="s">
        <v>21</v>
      </c>
      <c r="I72" t="s">
        <v>22</v>
      </c>
      <c r="J72" t="s">
        <v>38</v>
      </c>
      <c r="K72" t="s">
        <v>24</v>
      </c>
      <c r="L72" t="s">
        <v>25</v>
      </c>
      <c r="M72" t="s">
        <v>42</v>
      </c>
      <c r="N72">
        <v>1</v>
      </c>
      <c r="P72" s="2">
        <v>1266</v>
      </c>
      <c r="Q72" s="2">
        <v>2320</v>
      </c>
      <c r="R72" s="2">
        <v>1054</v>
      </c>
      <c r="S72" s="2">
        <v>1266</v>
      </c>
      <c r="T72" s="2">
        <v>2320</v>
      </c>
      <c r="V72" t="str">
        <f>_xlfn.CONCAT(B72, ": ",P72," ", M72,"-",TEXT(C72,"mm/dd/yyyy"))</f>
        <v>12/19/2021: 1266 Mountain-200 Silver, 38-01/19/1900</v>
      </c>
    </row>
    <row r="73" spans="1:22" x14ac:dyDescent="0.35">
      <c r="A73">
        <v>261766</v>
      </c>
      <c r="B73" t="s">
        <v>73</v>
      </c>
      <c r="C73">
        <v>20</v>
      </c>
      <c r="D73" t="s">
        <v>19</v>
      </c>
      <c r="E73">
        <v>2021</v>
      </c>
      <c r="F73">
        <v>33</v>
      </c>
      <c r="G73" t="s">
        <v>32</v>
      </c>
      <c r="H73" t="s">
        <v>21</v>
      </c>
      <c r="I73" t="s">
        <v>33</v>
      </c>
      <c r="J73" t="s">
        <v>50</v>
      </c>
      <c r="K73" t="s">
        <v>24</v>
      </c>
      <c r="L73" t="s">
        <v>25</v>
      </c>
      <c r="M73" t="s">
        <v>51</v>
      </c>
      <c r="N73">
        <v>4</v>
      </c>
      <c r="P73" s="2">
        <v>1898</v>
      </c>
      <c r="Q73" s="2">
        <v>3375</v>
      </c>
      <c r="R73" s="2">
        <v>5908</v>
      </c>
      <c r="S73" s="2">
        <v>7592</v>
      </c>
      <c r="T73" s="2">
        <v>13500</v>
      </c>
      <c r="V73" t="str">
        <f>_xlfn.CONCAT(B73, ": ",P73," ", M73,"-",TEXT(C73,"mm/dd/yyyy"))</f>
        <v>12/20/2021: 1898 Mountain-100 Black, 38-01/20/1900</v>
      </c>
    </row>
    <row r="74" spans="1:22" x14ac:dyDescent="0.35">
      <c r="A74">
        <v>261767</v>
      </c>
      <c r="B74" t="s">
        <v>73</v>
      </c>
      <c r="C74">
        <v>20</v>
      </c>
      <c r="D74" t="s">
        <v>19</v>
      </c>
      <c r="E74">
        <v>2021</v>
      </c>
      <c r="F74">
        <v>57</v>
      </c>
      <c r="G74" t="s">
        <v>20</v>
      </c>
      <c r="H74" t="s">
        <v>27</v>
      </c>
      <c r="I74" t="s">
        <v>33</v>
      </c>
      <c r="J74" t="s">
        <v>41</v>
      </c>
      <c r="K74" t="s">
        <v>24</v>
      </c>
      <c r="L74" t="s">
        <v>25</v>
      </c>
      <c r="M74" t="s">
        <v>26</v>
      </c>
      <c r="N74">
        <v>4</v>
      </c>
      <c r="P74" s="2">
        <v>1252</v>
      </c>
      <c r="Q74" s="2">
        <v>2295</v>
      </c>
      <c r="R74" s="2">
        <v>4172</v>
      </c>
      <c r="S74" s="2">
        <v>5008</v>
      </c>
      <c r="T74" s="2">
        <v>9180</v>
      </c>
      <c r="V74" t="str">
        <f>_xlfn.CONCAT(B74, ": ",P74," ", M74,"-",TEXT(C74,"mm/dd/yyyy"))</f>
        <v>12/20/2021: 1252 Mountain-200 Black, 46-01/20/1900</v>
      </c>
    </row>
    <row r="75" spans="1:22" x14ac:dyDescent="0.35">
      <c r="A75">
        <v>261768</v>
      </c>
      <c r="B75" t="s">
        <v>73</v>
      </c>
      <c r="C75">
        <v>20</v>
      </c>
      <c r="D75" t="s">
        <v>19</v>
      </c>
      <c r="E75">
        <v>2021</v>
      </c>
      <c r="F75">
        <v>29</v>
      </c>
      <c r="G75" t="s">
        <v>32</v>
      </c>
      <c r="H75" t="s">
        <v>27</v>
      </c>
      <c r="I75" t="s">
        <v>43</v>
      </c>
      <c r="J75" t="s">
        <v>44</v>
      </c>
      <c r="K75" t="s">
        <v>24</v>
      </c>
      <c r="L75" t="s">
        <v>25</v>
      </c>
      <c r="M75" t="s">
        <v>74</v>
      </c>
      <c r="N75">
        <v>3</v>
      </c>
      <c r="P75" s="2">
        <v>295</v>
      </c>
      <c r="Q75" s="2">
        <v>540</v>
      </c>
      <c r="R75" s="2">
        <v>735</v>
      </c>
      <c r="S75" s="2">
        <v>885</v>
      </c>
      <c r="T75" s="2">
        <v>1620</v>
      </c>
      <c r="V75" t="str">
        <f>_xlfn.CONCAT(B75, ": ",P75," ", M75,"-",TEXT(C75,"mm/dd/yyyy"))</f>
        <v>12/20/2021: 295 Mountain-500 Black, 52-01/20/1900</v>
      </c>
    </row>
    <row r="76" spans="1:22" x14ac:dyDescent="0.35">
      <c r="A76">
        <v>261769</v>
      </c>
      <c r="B76" t="s">
        <v>73</v>
      </c>
      <c r="C76">
        <v>20</v>
      </c>
      <c r="D76" t="s">
        <v>19</v>
      </c>
      <c r="E76">
        <v>2021</v>
      </c>
      <c r="F76">
        <v>35</v>
      </c>
      <c r="G76" t="s">
        <v>20</v>
      </c>
      <c r="H76" t="s">
        <v>21</v>
      </c>
      <c r="I76" t="s">
        <v>33</v>
      </c>
      <c r="J76" t="s">
        <v>41</v>
      </c>
      <c r="K76" t="s">
        <v>24</v>
      </c>
      <c r="L76" t="s">
        <v>25</v>
      </c>
      <c r="M76" t="s">
        <v>42</v>
      </c>
      <c r="N76">
        <v>1</v>
      </c>
      <c r="P76" s="2">
        <v>1266</v>
      </c>
      <c r="Q76" s="2">
        <v>2320</v>
      </c>
      <c r="R76" s="2">
        <v>1054</v>
      </c>
      <c r="S76" s="2">
        <v>1266</v>
      </c>
      <c r="T76" s="2">
        <v>2320</v>
      </c>
      <c r="V76" t="str">
        <f>_xlfn.CONCAT(B76, ": ",P76," ", M76,"-",TEXT(C76,"mm/dd/yyyy"))</f>
        <v>12/20/2021: 1266 Mountain-200 Silver, 38-01/20/1900</v>
      </c>
    </row>
    <row r="77" spans="1:22" x14ac:dyDescent="0.35">
      <c r="A77">
        <v>261770</v>
      </c>
      <c r="B77" t="s">
        <v>73</v>
      </c>
      <c r="C77">
        <v>20</v>
      </c>
      <c r="D77" t="s">
        <v>19</v>
      </c>
      <c r="E77">
        <v>2021</v>
      </c>
      <c r="F77">
        <v>35</v>
      </c>
      <c r="G77" t="s">
        <v>20</v>
      </c>
      <c r="H77" t="s">
        <v>27</v>
      </c>
      <c r="I77" t="s">
        <v>33</v>
      </c>
      <c r="J77" t="s">
        <v>50</v>
      </c>
      <c r="K77" t="s">
        <v>24</v>
      </c>
      <c r="L77" t="s">
        <v>25</v>
      </c>
      <c r="M77" t="s">
        <v>42</v>
      </c>
      <c r="N77">
        <v>1</v>
      </c>
      <c r="P77" s="2">
        <v>1266</v>
      </c>
      <c r="Q77" s="2">
        <v>2320</v>
      </c>
      <c r="R77" s="2">
        <v>1054</v>
      </c>
      <c r="S77" s="2">
        <v>1266</v>
      </c>
      <c r="T77" s="2">
        <v>2320</v>
      </c>
      <c r="V77" t="str">
        <f>_xlfn.CONCAT(B77, ": ",P77," ", M77,"-",TEXT(C77,"mm/dd/yyyy"))</f>
        <v>12/20/2021: 1266 Mountain-200 Silver, 38-01/20/1900</v>
      </c>
    </row>
    <row r="78" spans="1:22" x14ac:dyDescent="0.35">
      <c r="A78">
        <v>261771</v>
      </c>
      <c r="B78" t="s">
        <v>75</v>
      </c>
      <c r="C78">
        <v>21</v>
      </c>
      <c r="D78" t="s">
        <v>19</v>
      </c>
      <c r="E78">
        <v>2021</v>
      </c>
      <c r="F78">
        <v>26</v>
      </c>
      <c r="G78" t="s">
        <v>32</v>
      </c>
      <c r="H78" t="s">
        <v>27</v>
      </c>
      <c r="I78" t="s">
        <v>55</v>
      </c>
      <c r="J78" t="s">
        <v>76</v>
      </c>
      <c r="K78" t="s">
        <v>24</v>
      </c>
      <c r="L78" t="s">
        <v>25</v>
      </c>
      <c r="M78" t="s">
        <v>42</v>
      </c>
      <c r="N78">
        <v>3</v>
      </c>
      <c r="P78" s="2">
        <v>1266</v>
      </c>
      <c r="Q78" s="2">
        <v>2320</v>
      </c>
      <c r="R78" s="2">
        <v>3162</v>
      </c>
      <c r="S78" s="2">
        <v>3798</v>
      </c>
      <c r="T78" s="2">
        <v>6960</v>
      </c>
      <c r="V78" t="str">
        <f>_xlfn.CONCAT(B78, ": ",P78," ", M78,"-",TEXT(C78,"mm/dd/yyyy"))</f>
        <v>12/21/2021: 1266 Mountain-200 Silver, 38-01/21/1900</v>
      </c>
    </row>
    <row r="79" spans="1:22" x14ac:dyDescent="0.35">
      <c r="A79">
        <v>261772</v>
      </c>
      <c r="B79" t="s">
        <v>75</v>
      </c>
      <c r="C79">
        <v>21</v>
      </c>
      <c r="D79" t="s">
        <v>19</v>
      </c>
      <c r="E79">
        <v>2021</v>
      </c>
      <c r="F79">
        <v>23</v>
      </c>
      <c r="G79" t="s">
        <v>36</v>
      </c>
      <c r="H79" t="s">
        <v>27</v>
      </c>
      <c r="I79" t="s">
        <v>28</v>
      </c>
      <c r="J79" t="s">
        <v>29</v>
      </c>
      <c r="K79" t="s">
        <v>24</v>
      </c>
      <c r="L79" t="s">
        <v>25</v>
      </c>
      <c r="M79" t="s">
        <v>31</v>
      </c>
      <c r="N79">
        <v>2</v>
      </c>
      <c r="P79" s="2">
        <v>420</v>
      </c>
      <c r="Q79" s="2">
        <v>769</v>
      </c>
      <c r="R79" s="2">
        <v>698</v>
      </c>
      <c r="S79" s="2">
        <v>840</v>
      </c>
      <c r="T79" s="2">
        <v>1538</v>
      </c>
      <c r="V79" t="str">
        <f>_xlfn.CONCAT(B79, ": ",P79," ", M79,"-",TEXT(C79,"mm/dd/yyyy"))</f>
        <v>12/21/2021: 420 Mountain-400-W Silver, 46-01/21/1900</v>
      </c>
    </row>
    <row r="80" spans="1:22" x14ac:dyDescent="0.35">
      <c r="A80">
        <v>261773</v>
      </c>
      <c r="B80" t="s">
        <v>77</v>
      </c>
      <c r="C80">
        <v>22</v>
      </c>
      <c r="D80" t="s">
        <v>19</v>
      </c>
      <c r="E80">
        <v>2021</v>
      </c>
      <c r="F80">
        <v>30</v>
      </c>
      <c r="G80" t="s">
        <v>32</v>
      </c>
      <c r="H80" t="s">
        <v>21</v>
      </c>
      <c r="I80" t="s">
        <v>22</v>
      </c>
      <c r="J80" t="s">
        <v>38</v>
      </c>
      <c r="K80" t="s">
        <v>24</v>
      </c>
      <c r="L80" t="s">
        <v>25</v>
      </c>
      <c r="M80" t="s">
        <v>42</v>
      </c>
      <c r="N80">
        <v>3</v>
      </c>
      <c r="P80" s="2">
        <v>1266</v>
      </c>
      <c r="Q80" s="2">
        <v>2320</v>
      </c>
      <c r="R80" s="2">
        <v>3162</v>
      </c>
      <c r="S80" s="2">
        <v>3798</v>
      </c>
      <c r="T80" s="2">
        <v>6960</v>
      </c>
      <c r="V80" t="str">
        <f>_xlfn.CONCAT(B80, ": ",P80," ", M80,"-",TEXT(C80,"mm/dd/yyyy"))</f>
        <v>12/22/2021: 1266 Mountain-200 Silver, 38-01/22/1900</v>
      </c>
    </row>
    <row r="81" spans="1:22" x14ac:dyDescent="0.35">
      <c r="A81">
        <v>261774</v>
      </c>
      <c r="B81" t="s">
        <v>77</v>
      </c>
      <c r="C81">
        <v>22</v>
      </c>
      <c r="D81" t="s">
        <v>19</v>
      </c>
      <c r="E81">
        <v>2021</v>
      </c>
      <c r="F81">
        <v>41</v>
      </c>
      <c r="G81" t="s">
        <v>20</v>
      </c>
      <c r="H81" t="s">
        <v>27</v>
      </c>
      <c r="I81" t="s">
        <v>22</v>
      </c>
      <c r="J81" t="s">
        <v>23</v>
      </c>
      <c r="K81" t="s">
        <v>24</v>
      </c>
      <c r="L81" t="s">
        <v>25</v>
      </c>
      <c r="M81" t="s">
        <v>45</v>
      </c>
      <c r="N81">
        <v>3</v>
      </c>
      <c r="P81" s="2">
        <v>1252</v>
      </c>
      <c r="Q81" s="2">
        <v>2295</v>
      </c>
      <c r="R81" s="2">
        <v>3129</v>
      </c>
      <c r="S81" s="2">
        <v>3756</v>
      </c>
      <c r="T81" s="2">
        <v>6885</v>
      </c>
      <c r="V81" t="str">
        <f>_xlfn.CONCAT(B81, ": ",P81," ", M81,"-",TEXT(C81,"mm/dd/yyyy"))</f>
        <v>12/22/2021: 1252 Mountain-200 Black, 42-01/22/1900</v>
      </c>
    </row>
    <row r="82" spans="1:22" x14ac:dyDescent="0.35">
      <c r="A82">
        <v>261775</v>
      </c>
      <c r="B82" t="s">
        <v>77</v>
      </c>
      <c r="C82">
        <v>22</v>
      </c>
      <c r="D82" t="s">
        <v>19</v>
      </c>
      <c r="E82">
        <v>2021</v>
      </c>
      <c r="F82">
        <v>19</v>
      </c>
      <c r="G82" t="s">
        <v>36</v>
      </c>
      <c r="H82" t="s">
        <v>21</v>
      </c>
      <c r="I82" t="s">
        <v>33</v>
      </c>
      <c r="J82" t="s">
        <v>34</v>
      </c>
      <c r="K82" t="s">
        <v>24</v>
      </c>
      <c r="L82" t="s">
        <v>25</v>
      </c>
      <c r="M82" t="s">
        <v>47</v>
      </c>
      <c r="N82">
        <v>1</v>
      </c>
      <c r="P82" s="2">
        <v>308</v>
      </c>
      <c r="Q82" s="2">
        <v>565</v>
      </c>
      <c r="R82" s="2">
        <v>257</v>
      </c>
      <c r="S82" s="2">
        <v>308</v>
      </c>
      <c r="T82" s="2">
        <v>565</v>
      </c>
      <c r="V82" t="str">
        <f>_xlfn.CONCAT(B82, ": ",P82," ", M82,"-",TEXT(C82,"mm/dd/yyyy"))</f>
        <v>12/22/2021: 308 Mountain-500 Silver, 42-01/22/1900</v>
      </c>
    </row>
    <row r="83" spans="1:22" x14ac:dyDescent="0.35">
      <c r="A83">
        <v>261776</v>
      </c>
      <c r="B83" t="s">
        <v>77</v>
      </c>
      <c r="C83">
        <v>22</v>
      </c>
      <c r="D83" t="s">
        <v>19</v>
      </c>
      <c r="E83">
        <v>2021</v>
      </c>
      <c r="F83">
        <v>25</v>
      </c>
      <c r="G83" t="s">
        <v>32</v>
      </c>
      <c r="H83" t="s">
        <v>27</v>
      </c>
      <c r="I83" t="s">
        <v>55</v>
      </c>
      <c r="J83" t="s">
        <v>56</v>
      </c>
      <c r="K83" t="s">
        <v>24</v>
      </c>
      <c r="L83" t="s">
        <v>25</v>
      </c>
      <c r="M83" t="s">
        <v>37</v>
      </c>
      <c r="N83">
        <v>1</v>
      </c>
      <c r="P83" s="2">
        <v>1252</v>
      </c>
      <c r="Q83" s="2">
        <v>2295</v>
      </c>
      <c r="R83" s="2">
        <v>1043</v>
      </c>
      <c r="S83" s="2">
        <v>1252</v>
      </c>
      <c r="T83" s="2">
        <v>2295</v>
      </c>
      <c r="V83" t="str">
        <f>_xlfn.CONCAT(B83, ": ",P83," ", M83,"-",TEXT(C83,"mm/dd/yyyy"))</f>
        <v>12/22/2021: 1252 Mountain-200 Black, 38-01/22/1900</v>
      </c>
    </row>
    <row r="84" spans="1:22" x14ac:dyDescent="0.35">
      <c r="A84">
        <v>261777</v>
      </c>
      <c r="B84" t="s">
        <v>77</v>
      </c>
      <c r="C84">
        <v>22</v>
      </c>
      <c r="D84" t="s">
        <v>19</v>
      </c>
      <c r="E84">
        <v>2021</v>
      </c>
      <c r="F84">
        <v>27</v>
      </c>
      <c r="G84" t="s">
        <v>32</v>
      </c>
      <c r="H84" t="s">
        <v>21</v>
      </c>
      <c r="I84" t="s">
        <v>43</v>
      </c>
      <c r="J84" t="s">
        <v>44</v>
      </c>
      <c r="K84" t="s">
        <v>24</v>
      </c>
      <c r="L84" t="s">
        <v>25</v>
      </c>
      <c r="M84" t="s">
        <v>26</v>
      </c>
      <c r="N84">
        <v>1</v>
      </c>
      <c r="P84" s="2">
        <v>1252</v>
      </c>
      <c r="Q84" s="2">
        <v>2295</v>
      </c>
      <c r="R84" s="2">
        <v>1043</v>
      </c>
      <c r="S84" s="2">
        <v>1252</v>
      </c>
      <c r="T84" s="2">
        <v>2295</v>
      </c>
      <c r="V84" t="str">
        <f>_xlfn.CONCAT(B84, ": ",P84," ", M84,"-",TEXT(C84,"mm/dd/yyyy"))</f>
        <v>12/22/2021: 1252 Mountain-200 Black, 46-01/22/1900</v>
      </c>
    </row>
    <row r="85" spans="1:22" x14ac:dyDescent="0.35">
      <c r="A85">
        <v>261778</v>
      </c>
      <c r="B85" t="s">
        <v>77</v>
      </c>
      <c r="C85">
        <v>22</v>
      </c>
      <c r="D85" t="s">
        <v>19</v>
      </c>
      <c r="E85">
        <v>2021</v>
      </c>
      <c r="F85">
        <v>41</v>
      </c>
      <c r="G85" t="s">
        <v>20</v>
      </c>
      <c r="H85" t="s">
        <v>27</v>
      </c>
      <c r="I85" t="s">
        <v>39</v>
      </c>
      <c r="J85" t="s">
        <v>72</v>
      </c>
      <c r="K85" t="s">
        <v>24</v>
      </c>
      <c r="L85" t="s">
        <v>25</v>
      </c>
      <c r="M85" t="s">
        <v>42</v>
      </c>
      <c r="N85">
        <v>1</v>
      </c>
      <c r="P85" s="2">
        <v>1266</v>
      </c>
      <c r="Q85" s="2">
        <v>2320</v>
      </c>
      <c r="R85" s="2">
        <v>1054</v>
      </c>
      <c r="S85" s="2">
        <v>1266</v>
      </c>
      <c r="T85" s="2">
        <v>2320</v>
      </c>
      <c r="V85" t="str">
        <f>_xlfn.CONCAT(B85, ": ",P85," ", M85,"-",TEXT(C85,"mm/dd/yyyy"))</f>
        <v>12/22/2021: 1266 Mountain-200 Silver, 38-01/22/1900</v>
      </c>
    </row>
    <row r="86" spans="1:22" x14ac:dyDescent="0.35">
      <c r="A86">
        <v>261779</v>
      </c>
      <c r="B86" t="s">
        <v>78</v>
      </c>
      <c r="C86">
        <v>23</v>
      </c>
      <c r="D86" t="s">
        <v>19</v>
      </c>
      <c r="E86">
        <v>2021</v>
      </c>
      <c r="F86">
        <v>30</v>
      </c>
      <c r="G86" t="s">
        <v>32</v>
      </c>
      <c r="H86" t="s">
        <v>21</v>
      </c>
      <c r="I86" t="s">
        <v>22</v>
      </c>
      <c r="J86" t="s">
        <v>48</v>
      </c>
      <c r="K86" t="s">
        <v>24</v>
      </c>
      <c r="L86" t="s">
        <v>25</v>
      </c>
      <c r="M86" t="s">
        <v>30</v>
      </c>
      <c r="N86">
        <v>1</v>
      </c>
      <c r="P86" s="2">
        <v>1266</v>
      </c>
      <c r="Q86" s="2">
        <v>2320</v>
      </c>
      <c r="R86" s="2">
        <v>1054</v>
      </c>
      <c r="S86" s="2">
        <v>1266</v>
      </c>
      <c r="T86" s="2">
        <v>2320</v>
      </c>
      <c r="V86" t="str">
        <f>_xlfn.CONCAT(B86, ": ",P86," ", M86,"-",TEXT(C86,"mm/dd/yyyy"))</f>
        <v>12/23/2021: 1266 Mountain-200 Silver, 42-01/23/1900</v>
      </c>
    </row>
    <row r="87" spans="1:22" x14ac:dyDescent="0.35">
      <c r="A87">
        <v>261780</v>
      </c>
      <c r="B87" t="s">
        <v>78</v>
      </c>
      <c r="C87">
        <v>23</v>
      </c>
      <c r="D87" t="s">
        <v>19</v>
      </c>
      <c r="E87">
        <v>2021</v>
      </c>
      <c r="F87">
        <v>31</v>
      </c>
      <c r="G87" t="s">
        <v>32</v>
      </c>
      <c r="H87" t="s">
        <v>21</v>
      </c>
      <c r="I87" t="s">
        <v>43</v>
      </c>
      <c r="J87" t="s">
        <v>44</v>
      </c>
      <c r="K87" t="s">
        <v>24</v>
      </c>
      <c r="L87" t="s">
        <v>25</v>
      </c>
      <c r="M87" t="s">
        <v>45</v>
      </c>
      <c r="N87">
        <v>1</v>
      </c>
      <c r="P87" s="2">
        <v>1252</v>
      </c>
      <c r="Q87" s="2">
        <v>2295</v>
      </c>
      <c r="R87" s="2">
        <v>1043</v>
      </c>
      <c r="S87" s="2">
        <v>1252</v>
      </c>
      <c r="T87" s="2">
        <v>2295</v>
      </c>
      <c r="V87" t="str">
        <f>_xlfn.CONCAT(B87, ": ",P87," ", M87,"-",TEXT(C87,"mm/dd/yyyy"))</f>
        <v>12/23/2021: 1252 Mountain-200 Black, 42-01/23/1900</v>
      </c>
    </row>
    <row r="88" spans="1:22" x14ac:dyDescent="0.35">
      <c r="A88">
        <v>261781</v>
      </c>
      <c r="B88" t="s">
        <v>78</v>
      </c>
      <c r="C88">
        <v>23</v>
      </c>
      <c r="D88" t="s">
        <v>19</v>
      </c>
      <c r="E88">
        <v>2021</v>
      </c>
      <c r="F88">
        <v>35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49</v>
      </c>
      <c r="N88">
        <v>1</v>
      </c>
      <c r="P88" s="2">
        <v>295</v>
      </c>
      <c r="Q88" s="2">
        <v>540</v>
      </c>
      <c r="R88" s="2">
        <v>245</v>
      </c>
      <c r="S88" s="2">
        <v>295</v>
      </c>
      <c r="T88" s="2">
        <v>540</v>
      </c>
      <c r="V88" t="str">
        <f>_xlfn.CONCAT(B88, ": ",P88," ", M88,"-",TEXT(C88,"mm/dd/yyyy"))</f>
        <v>12/23/2021: 295 Mountain-500 Black, 42-01/23/1900</v>
      </c>
    </row>
    <row r="89" spans="1:22" x14ac:dyDescent="0.35">
      <c r="A89">
        <v>261782</v>
      </c>
      <c r="B89" t="s">
        <v>79</v>
      </c>
      <c r="C89">
        <v>24</v>
      </c>
      <c r="D89" t="s">
        <v>19</v>
      </c>
      <c r="E89">
        <v>2021</v>
      </c>
      <c r="F89">
        <v>38</v>
      </c>
      <c r="G89" t="s">
        <v>20</v>
      </c>
      <c r="H89" t="s">
        <v>27</v>
      </c>
      <c r="I89" t="s">
        <v>33</v>
      </c>
      <c r="J89" t="s">
        <v>41</v>
      </c>
      <c r="K89" t="s">
        <v>24</v>
      </c>
      <c r="L89" t="s">
        <v>25</v>
      </c>
      <c r="M89" t="s">
        <v>45</v>
      </c>
      <c r="N89">
        <v>4</v>
      </c>
      <c r="P89" s="2">
        <v>1252</v>
      </c>
      <c r="Q89" s="2">
        <v>2295</v>
      </c>
      <c r="R89" s="2">
        <v>4172</v>
      </c>
      <c r="S89" s="2">
        <v>5008</v>
      </c>
      <c r="T89" s="2">
        <v>9180</v>
      </c>
      <c r="V89" t="str">
        <f>_xlfn.CONCAT(B89, ": ",P89," ", M89,"-",TEXT(C89,"mm/dd/yyyy"))</f>
        <v>12/24/2021: 1252 Mountain-200 Black, 42-01/24/1900</v>
      </c>
    </row>
  </sheetData>
  <autoFilter ref="S1:S89" xr:uid="{F8BD849F-42D7-4A60-82BE-5AB8D98BC38A}"/>
  <mergeCells count="5">
    <mergeCell ref="X4:Y4"/>
    <mergeCell ref="X21:Y21"/>
    <mergeCell ref="X16:Y16"/>
    <mergeCell ref="X11:Y11"/>
    <mergeCell ref="X29:Y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Bike_Sales_Functions_Lab (raw)</vt:lpstr>
      <vt:lpstr>Bike_Sales_Functions_Lab (work)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Ousman Mbowe</cp:lastModifiedBy>
  <dcterms:created xsi:type="dcterms:W3CDTF">2026-10-30T18:14:52Z</dcterms:created>
  <dcterms:modified xsi:type="dcterms:W3CDTF">2026-10-31T14:06:34Z</dcterms:modified>
</cp:coreProperties>
</file>